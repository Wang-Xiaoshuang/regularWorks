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5180" windowHeight="7000" activeTab="1"/>
  </bookViews>
  <sheets>
    <sheet name="月度" sheetId="2" r:id="rId1"/>
    <sheet name="当日" sheetId="1" r:id="rId2"/>
  </sheets>
  <definedNames>
    <definedName name="_xlnm._FilterDatabase" localSheetId="1" hidden="1">当日!$K$2:$M$12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<sst xmlns="http://schemas.openxmlformats.org/spreadsheetml/2006/main" count="44" uniqueCount="34">
  <si>
    <t>目标表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</si>
  <si>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</si>
  <si>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</si>
  <si>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</si>
  <si>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</si>
  <si>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</si>
  <si>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</si>
  <si>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</si>
  <si>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</si>
  <si>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</si>
  <si>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目标</t>
  </si>
  <si>
    <t>事项弹性</t>
  </si>
  <si>
    <t>工作</t>
  </si>
  <si>
    <t>基本工作</t>
  </si>
  <si>
    <t>向上管理-阅读笔记</t>
  </si>
  <si>
    <t>流量-副业</t>
  </si>
  <si>
    <t>上课</t>
  </si>
  <si>
    <t>完成作业</t>
  </si>
  <si>
    <t>提升</t>
  </si>
  <si>
    <t>股票阅读笔记</t>
  </si>
  <si>
    <t>前端专业网课</t>
  </si>
  <si>
    <t>乱逛转发呆、听歌</t>
  </si>
  <si>
    <t>本日快捷清单</t>
  </si>
  <si>
    <t>备注</t>
  </si>
  <si>
    <t>完成</t>
  </si>
  <si>
    <t>完成一个ui界面</t>
  </si>
  <si>
    <t>完成上次的流量作业</t>
  </si>
  <si>
    <t>看积极心理学</t>
  </si>
  <si>
    <t>集草器清单</t>
  </si>
  <si>
    <t>本周目的</t>
  </si>
  <si>
    <t>目标-利益关系人</t>
  </si>
  <si>
    <t>日期</t>
  </si>
  <si>
    <t>工程</t>
  </si>
  <si>
    <t>交付日期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</si>
</sst>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1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75585192419"/>
      <name val="宋体"/>
      <charset val="134"/>
      <scheme val="minor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8" borderId="9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9" borderId="12" applyNumberFormat="0" applyAlignment="0" applyProtection="0">
      <alignment vertical="center"/>
    </xf>
    <xf numFmtId="0" fontId="21" fillId="10" borderId="13" applyNumberFormat="0" applyAlignment="0" applyProtection="0">
      <alignment vertical="center"/>
    </xf>
    <xf numFmtId="0" fontId="22" fillId="10" borderId="12" applyNumberFormat="0" applyAlignment="0" applyProtection="0">
      <alignment vertical="center"/>
    </xf>
    <xf numFmtId="0" fontId="23" fillId="11" borderId="14" applyNumberFormat="0" applyAlignment="0" applyProtection="0">
      <alignment vertical="center"/>
    </xf>
    <xf numFmtId="0" fontId="24" fillId="0" borderId="15" applyNumberFormat="0" applyFill="0" applyAlignment="0" applyProtection="0">
      <alignment vertical="center"/>
    </xf>
    <xf numFmtId="0" fontId="25" fillId="0" borderId="16" applyNumberFormat="0" applyFill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Font="1" applyFill="1" applyAlignment="1">
      <alignment vertical="center" wrapText="1"/>
    </xf>
    <xf numFmtId="0" fontId="3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>
      <alignment vertical="center"/>
    </xf>
    <xf numFmtId="176" fontId="4" fillId="3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7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7" fontId="9" fillId="2" borderId="3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1" fillId="0" borderId="0" xfId="0" applyFont="1" applyFill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10" fillId="0" borderId="7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 wrapText="1"/>
    </xf>
    <xf numFmtId="0" fontId="10" fillId="0" borderId="8" xfId="0" applyNumberFormat="1" applyFont="1" applyFill="1" applyBorder="1" applyAlignment="1">
      <alignment horizontal="center" vertical="center"/>
    </xf>
    <xf numFmtId="0" fontId="10" fillId="0" borderId="3" xfId="0" applyNumberFormat="1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10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7" tint="0.4"/>
        </patternFill>
      </fill>
    </dxf>
    <dxf>
      <numFmt numFmtId="178" formatCode=";;;"/>
    </dxf>
    <dxf>
      <font>
        <color theme="5" tint="0.799981688894314"/>
      </font>
      <fill>
        <patternFill patternType="solid">
          <bgColor theme="5" tint="0.799981688894314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75585192419"/>
      </font>
      <fill>
        <patternFill patternType="solid">
          <bgColor theme="8" tint="0.399975585192419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  <dxf>
      <fill>
        <patternFill patternType="solid">
          <bgColor theme="4" tint="0.799981688894314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表8_53" displayName="表8_53" ref="B3:H9" totalsRowShown="0">
  <tableColumns count="7">
    <tableColumn id="1" name="日"/>
    <tableColumn id="2" name="一"/>
    <tableColumn id="3" name="二"/>
    <tableColumn id="4" name="三"/>
    <tableColumn id="5" name="四"/>
    <tableColumn id="6" name="五"/>
    <tableColumn id="7" name="六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表8_5" displayName="表8_5" ref="B3:H8" totalsRowShown="0">
  <tableColumns count="7">
    <tableColumn id="1" name="日" dataDxfId="7"/>
    <tableColumn id="2" name="一" dataDxfId="8"/>
    <tableColumn id="3" name="二" dataDxfId="9"/>
    <tableColumn id="4" name="三" dataDxfId="10"/>
    <tableColumn id="5" name="四" dataDxfId="11"/>
    <tableColumn id="6" name="五" dataDxfId="12"/>
    <tableColumn id="7" name="六" dataDxf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1" zoomScaleNormal="81" workbookViewId="0">
      <selection activeCell="K4" sqref="K4"/>
    </sheetView>
  </sheetViews>
  <sheetFormatPr defaultColWidth="9" defaultRowHeight="16.5"/>
  <cols>
    <col min="1" max="1" width="0.781818181818182" customWidth="1"/>
    <col min="2" max="2" width="4.44545454545455" style="1" customWidth="1"/>
    <col min="3" max="3" width="5" style="1" customWidth="1"/>
    <col min="4" max="4" width="4.55454545454545" style="1" customWidth="1"/>
    <col min="5" max="5" width="5.10909090909091" style="1" customWidth="1"/>
    <col min="6" max="6" width="5.33636363636364" style="1" customWidth="1"/>
    <col min="7" max="7" width="5" style="1" customWidth="1"/>
    <col min="8" max="8" width="4.78181818181818" style="1" customWidth="1"/>
    <col min="9" max="9" width="1" style="1" customWidth="1"/>
    <col min="10" max="10" width="10.4363636363636" style="2" customWidth="1"/>
    <col min="11" max="11" width="21.3181818181818" style="2" customWidth="1"/>
    <col min="12" max="42" width="3.44545454545455" style="1" customWidth="1"/>
  </cols>
  <sheetData>
    <row r="1" spans="1:42">
      <c r="A1" s="3"/>
      <c r="J1" s="15" t="s">
        <v>0</v>
      </c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ht="24" spans="2:42">
      <c r="B2" s="4"/>
      <c r="C2" s="5">
        <v>2024</v>
      </c>
      <c r="D2" s="5"/>
      <c r="E2" s="6" t="s">
        <v>1</v>
      </c>
      <c r="F2" s="7">
        <v>5</v>
      </c>
      <c r="G2" s="6" t="s">
        <v>2</v>
      </c>
      <c r="H2" s="6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</row>
    <row r="3" ht="22.95" customHeight="1" spans="2:42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J3" s="16" t="s">
        <v>10</v>
      </c>
      <c r="K3" s="16" t="s">
        <v>11</v>
      </c>
      <c r="L3" s="17">
        <f>1</f>
        <v>1</v>
      </c>
      <c r="M3" s="17">
        <f t="shared" ref="M3:AP3" si="0">L3+1</f>
        <v>2</v>
      </c>
      <c r="N3" s="17">
        <f t="shared" si="0"/>
        <v>3</v>
      </c>
      <c r="O3" s="17">
        <f t="shared" si="0"/>
        <v>4</v>
      </c>
      <c r="P3" s="17">
        <f t="shared" si="0"/>
        <v>5</v>
      </c>
      <c r="Q3" s="17">
        <f t="shared" si="0"/>
        <v>6</v>
      </c>
      <c r="R3" s="17">
        <f t="shared" si="0"/>
        <v>7</v>
      </c>
      <c r="S3" s="17">
        <f t="shared" si="0"/>
        <v>8</v>
      </c>
      <c r="T3" s="17">
        <f t="shared" si="0"/>
        <v>9</v>
      </c>
      <c r="U3" s="17">
        <f t="shared" si="0"/>
        <v>10</v>
      </c>
      <c r="V3" s="17">
        <f t="shared" si="0"/>
        <v>11</v>
      </c>
      <c r="W3" s="17">
        <f t="shared" si="0"/>
        <v>12</v>
      </c>
      <c r="X3" s="17">
        <f t="shared" si="0"/>
        <v>13</v>
      </c>
      <c r="Y3" s="17">
        <f t="shared" si="0"/>
        <v>14</v>
      </c>
      <c r="Z3" s="17">
        <f t="shared" si="0"/>
        <v>15</v>
      </c>
      <c r="AA3" s="17">
        <f t="shared" si="0"/>
        <v>16</v>
      </c>
      <c r="AB3" s="17">
        <f t="shared" si="0"/>
        <v>17</v>
      </c>
      <c r="AC3" s="17">
        <f t="shared" si="0"/>
        <v>18</v>
      </c>
      <c r="AD3" s="17">
        <f t="shared" si="0"/>
        <v>19</v>
      </c>
      <c r="AE3" s="17">
        <f t="shared" si="0"/>
        <v>20</v>
      </c>
      <c r="AF3" s="17">
        <f t="shared" si="0"/>
        <v>21</v>
      </c>
      <c r="AG3" s="17">
        <f t="shared" si="0"/>
        <v>22</v>
      </c>
      <c r="AH3" s="17">
        <f t="shared" si="0"/>
        <v>23</v>
      </c>
      <c r="AI3" s="17">
        <f t="shared" si="0"/>
        <v>24</v>
      </c>
      <c r="AJ3" s="17">
        <f t="shared" si="0"/>
        <v>25</v>
      </c>
      <c r="AK3" s="17">
        <f t="shared" si="0"/>
        <v>26</v>
      </c>
      <c r="AL3" s="17">
        <f t="shared" si="0"/>
        <v>27</v>
      </c>
      <c r="AM3" s="17">
        <f t="shared" si="0"/>
        <v>28</v>
      </c>
      <c r="AN3" s="17">
        <f t="shared" si="0"/>
        <v>29</v>
      </c>
      <c r="AO3" s="17">
        <f t="shared" si="0"/>
        <v>30</v>
      </c>
      <c r="AP3" s="17">
        <f t="shared" si="0"/>
        <v>31</v>
      </c>
    </row>
    <row r="4" ht="28.05" customHeight="1" spans="1:42">
      <c r="A4" s="9"/>
      <c r="B4" s="10">
        <f>INT(DATE($C$2,$F$2,0)/7)*7+COLUMN(A1)+7*(ROW(B1)-1)</f>
        <v>45410</v>
      </c>
      <c r="C4" s="10">
        <f>INT(DATE($C$2,$F$2,0)/7)*7+COLUMN(B1)+7*(ROW(C1)-1)</f>
        <v>45411</v>
      </c>
      <c r="D4" s="10">
        <f>INT(DATE($C$2,$F$2,0)/7)*7+COLUMN(C1)+7*(ROW(D1)-1)</f>
        <v>45412</v>
      </c>
      <c r="E4" s="10">
        <f>INT(DATE($C$2,$F$2,0)/7)*7+COLUMN(D1)+7*(ROW(E1)-1)</f>
        <v>45413</v>
      </c>
      <c r="F4" s="10">
        <f>INT(DATE($C$2,$F$2,0)/7)*7+COLUMN(E1)+7*(ROW(F1)-1)</f>
        <v>45414</v>
      </c>
      <c r="G4" s="10">
        <f>INT(DATE($C$2,$F$2,0)/7)*7+COLUMN(F1)+7*(ROW(G1)-1)</f>
        <v>45415</v>
      </c>
      <c r="H4" s="10">
        <f>INT(DATE($C$2,$F$2,0)/7)*7+COLUMN(G1)+7*(ROW(H1)-1)</f>
        <v>45416</v>
      </c>
      <c r="J4" s="27" t="s">
        <v>12</v>
      </c>
      <c r="K4" s="28" t="s">
        <v>13</v>
      </c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ht="28.05" customHeight="1" spans="2:42">
      <c r="B5" s="10">
        <f>INT(DATE($C$2,$F$2,0)/7)*7+COLUMN(A2)+7*(ROW(B2)-1)</f>
        <v>45417</v>
      </c>
      <c r="C5" s="10">
        <f>INT(DATE($C$2,$F$2,0)/7)*7+COLUMN(B2)+7*(ROW(C2)-1)</f>
        <v>45418</v>
      </c>
      <c r="D5" s="10">
        <f>INT(DATE($C$2,$F$2,0)/7)*7+COLUMN(C2)+7*(ROW(D2)-1)</f>
        <v>45419</v>
      </c>
      <c r="E5" s="10">
        <f>INT(DATE($C$2,$F$2,0)/7)*7+COLUMN(D2)+7*(ROW(E2)-1)</f>
        <v>45420</v>
      </c>
      <c r="F5" s="10">
        <f>INT(DATE($C$2,$F$2,0)/7)*7+COLUMN(E2)+7*(ROW(F2)-1)</f>
        <v>45421</v>
      </c>
      <c r="G5" s="10">
        <f>INT(DATE($C$2,$F$2,0)/7)*7+COLUMN(F2)+7*(ROW(G2)-1)</f>
        <v>45422</v>
      </c>
      <c r="H5" s="10">
        <f>INT(DATE($C$2,$F$2,0)/7)*7+COLUMN(G2)+7*(ROW(H2)-1)</f>
        <v>45423</v>
      </c>
      <c r="J5" s="29"/>
      <c r="K5" s="28" t="s">
        <v>14</v>
      </c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ht="28.05" customHeight="1" spans="2:42">
      <c r="B6" s="10">
        <f>INT(DATE($C$2,$F$2,0)/7)*7+COLUMN(A3)+7*(ROW(B3)-1)</f>
        <v>45424</v>
      </c>
      <c r="C6" s="10">
        <f>INT(DATE($C$2,$F$2,0)/7)*7+COLUMN(B3)+7*(ROW(C3)-1)</f>
        <v>45425</v>
      </c>
      <c r="D6" s="10">
        <f>INT(DATE($C$2,$F$2,0)/7)*7+COLUMN(C3)+7*(ROW(D3)-1)</f>
        <v>45426</v>
      </c>
      <c r="E6" s="10">
        <f>INT(DATE($C$2,$F$2,0)/7)*7+COLUMN(D3)+7*(ROW(E3)-1)</f>
        <v>45427</v>
      </c>
      <c r="F6" s="10">
        <f>INT(DATE($C$2,$F$2,0)/7)*7+COLUMN(E3)+7*(ROW(F3)-1)</f>
        <v>45428</v>
      </c>
      <c r="G6" s="10">
        <f>INT(DATE($C$2,$F$2,0)/7)*7+COLUMN(F3)+7*(ROW(G3)-1)</f>
        <v>45429</v>
      </c>
      <c r="H6" s="10">
        <f>INT(DATE($C$2,$F$2,0)/7)*7+COLUMN(G3)+7*(ROW(H3)-1)</f>
        <v>45430</v>
      </c>
      <c r="J6" s="29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ht="28.05" customHeight="1" spans="2:42">
      <c r="B7" s="10">
        <f>INT(DATE($C$2,$F$2,0)/7)*7+COLUMN(A4)+7*(ROW(B4)-1)</f>
        <v>45431</v>
      </c>
      <c r="C7" s="10">
        <f>INT(DATE($C$2,$F$2,0)/7)*7+COLUMN(B4)+7*(ROW(C4)-1)</f>
        <v>45432</v>
      </c>
      <c r="D7" s="10">
        <f>INT(DATE($C$2,$F$2,0)/7)*7+COLUMN(C4)+7*(ROW(D4)-1)</f>
        <v>45433</v>
      </c>
      <c r="E7" s="10">
        <f>INT(DATE($C$2,$F$2,0)/7)*7+COLUMN(D4)+7*(ROW(E4)-1)</f>
        <v>45434</v>
      </c>
      <c r="F7" s="10">
        <f>INT(DATE($C$2,$F$2,0)/7)*7+COLUMN(E4)+7*(ROW(F4)-1)</f>
        <v>45435</v>
      </c>
      <c r="G7" s="10">
        <f>INT(DATE($C$2,$F$2,0)/7)*7+COLUMN(F4)+7*(ROW(G4)-1)</f>
        <v>45436</v>
      </c>
      <c r="H7" s="10">
        <f>INT(DATE($C$2,$F$2,0)/7)*7+COLUMN(G4)+7*(ROW(H4)-1)</f>
        <v>45437</v>
      </c>
      <c r="J7" s="30"/>
      <c r="K7" s="31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>
        <f t="shared" ref="AN7:AP7" si="1">COUNTIF(AN4:AN6,"√")</f>
        <v>0</v>
      </c>
      <c r="AO7" s="32">
        <f t="shared" si="1"/>
        <v>0</v>
      </c>
      <c r="AP7" s="32">
        <f t="shared" si="1"/>
        <v>0</v>
      </c>
    </row>
    <row r="8" ht="28.05" customHeight="1" spans="2:42">
      <c r="B8" s="10">
        <f>INT(DATE($C$2,$F$2,0)/7)*7+COLUMN(A5)+7*(ROW(B5)-1)</f>
        <v>45438</v>
      </c>
      <c r="C8" s="10">
        <f>INT(DATE($C$2,$F$2,0)/7)*7+COLUMN(B5)+7*(ROW(C5)-1)</f>
        <v>45439</v>
      </c>
      <c r="D8" s="10">
        <f>INT(DATE($C$2,$F$2,0)/7)*7+COLUMN(C5)+7*(ROW(D5)-1)</f>
        <v>45440</v>
      </c>
      <c r="E8" s="10">
        <f>INT(DATE($C$2,$F$2,0)/7)*7+COLUMN(D5)+7*(ROW(E5)-1)</f>
        <v>45441</v>
      </c>
      <c r="F8" s="10">
        <f>INT(DATE($C$2,$F$2,0)/7)*7+COLUMN(E5)+7*(ROW(F5)-1)</f>
        <v>45442</v>
      </c>
      <c r="G8" s="10">
        <f>INT(DATE($C$2,$F$2,0)/7)*7+COLUMN(F5)+7*(ROW(G5)-1)</f>
        <v>45443</v>
      </c>
      <c r="H8" s="10">
        <f>INT(DATE($C$2,$F$2,0)/7)*7+COLUMN(G5)+7*(ROW(H5)-1)</f>
        <v>45444</v>
      </c>
      <c r="J8" s="33" t="s">
        <v>15</v>
      </c>
      <c r="K8" s="18" t="s">
        <v>16</v>
      </c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ht="28.05" customHeight="1" spans="2:42">
      <c r="B9" s="10">
        <f>INT(DATE($C$2,$F$2,0)/7)*7+COLUMN(A6)+7*(ROW(B6)-1)</f>
        <v>45445</v>
      </c>
      <c r="C9" s="10">
        <f>INT(DATE($C$2,$F$2,0)/7)*7+COLUMN(B6)+7*(ROW(C6)-1)</f>
        <v>45446</v>
      </c>
      <c r="D9" s="10">
        <f>INT(DATE($C$2,$F$2,0)/7)*7+COLUMN(C6)+7*(ROW(D6)-1)</f>
        <v>45447</v>
      </c>
      <c r="E9" s="10">
        <f>INT(DATE($C$2,$F$2,0)/7)*7+COLUMN(D6)+7*(ROW(E6)-1)</f>
        <v>45448</v>
      </c>
      <c r="F9" s="10">
        <f>INT(DATE($C$2,$F$2,0)/7)*7+COLUMN(E6)+7*(ROW(F6)-1)</f>
        <v>45449</v>
      </c>
      <c r="G9" s="10">
        <f>INT(DATE($C$2,$F$2,0)/7)*7+COLUMN(F6)+7*(ROW(G6)-1)</f>
        <v>45450</v>
      </c>
      <c r="H9" s="10">
        <f>INT(DATE($C$2,$F$2,0)/7)*7+COLUMN(G6)+7*(ROW(H6)-1)</f>
        <v>45451</v>
      </c>
      <c r="J9" s="29"/>
      <c r="K9" s="18" t="s">
        <v>17</v>
      </c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ht="22.95" customHeight="1" spans="10:42">
      <c r="J10" s="29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ht="22.95" customHeight="1" spans="10:42">
      <c r="J11" s="30"/>
      <c r="K11" s="34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>
        <f t="shared" ref="AN11:AP11" si="2">COUNTIF(AN8:AN10,"√")</f>
        <v>0</v>
      </c>
      <c r="AO11" s="18">
        <f t="shared" si="2"/>
        <v>0</v>
      </c>
      <c r="AP11" s="18">
        <f t="shared" si="2"/>
        <v>0</v>
      </c>
    </row>
    <row r="12" ht="22.95" customHeight="1" spans="10:42">
      <c r="J12" s="27" t="s">
        <v>18</v>
      </c>
      <c r="K12" s="21" t="s">
        <v>19</v>
      </c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</row>
    <row r="13" ht="22.95" customHeight="1" spans="10:42">
      <c r="J13" s="29"/>
      <c r="K13" s="21" t="s">
        <v>20</v>
      </c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</row>
    <row r="14" ht="22.95" customHeight="1" spans="10:42">
      <c r="J14" s="29"/>
      <c r="K14" s="21" t="s">
        <v>21</v>
      </c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</row>
    <row r="15" ht="22.95" customHeight="1" spans="10:42">
      <c r="J15" s="30"/>
      <c r="K15" s="35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>
        <f t="shared" ref="AN15:AP15" si="3">COUNTIF(AN12:AN14,"√")</f>
        <v>0</v>
      </c>
      <c r="AO15" s="21">
        <f t="shared" si="3"/>
        <v>0</v>
      </c>
      <c r="AP15" s="21">
        <f t="shared" si="3"/>
        <v>0</v>
      </c>
    </row>
    <row r="16" ht="22.95" customHeight="1" spans="10:42">
      <c r="J16"/>
      <c r="K1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</row>
    <row r="17" ht="22.95" customHeight="1" spans="10:42">
      <c r="J17"/>
      <c r="K17" s="37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>
        <v>0</v>
      </c>
      <c r="AN17" s="36"/>
      <c r="AO17" s="36"/>
      <c r="AP17" s="36"/>
    </row>
    <row r="18" ht="22.95" customHeight="1" spans="10:42">
      <c r="J18"/>
      <c r="K18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</row>
    <row r="19" ht="22.95" hidden="1" customHeight="1" spans="10:42">
      <c r="J19"/>
      <c r="K19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</row>
    <row r="20" ht="22.95" hidden="1" customHeight="1" spans="10:42">
      <c r="J20"/>
      <c r="K20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</row>
    <row r="21" ht="22.95" hidden="1" customHeight="1" spans="10:42">
      <c r="J21"/>
      <c r="K21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</row>
    <row r="22" ht="22.95" hidden="1" customHeight="1" spans="10:42">
      <c r="J22"/>
      <c r="K22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</row>
    <row r="23" ht="22.95" hidden="1" customHeight="1" spans="10:42">
      <c r="J23"/>
      <c r="K23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</row>
    <row r="24" ht="22.95" hidden="1" customHeight="1" spans="10:42">
      <c r="J24"/>
      <c r="K24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</row>
    <row r="25" ht="22.95" hidden="1" customHeight="1" spans="10:42">
      <c r="J25"/>
      <c r="K25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0" priority="1" operator="equal">
      <formula>DAY(TODAY())</formula>
    </cfRule>
  </conditionalFormatting>
  <conditionalFormatting sqref="AN3:AP3">
    <cfRule type="expression" dxfId="1" priority="12">
      <formula>MONTH(AN3)&gt;MONTH(AK3)</formula>
    </cfRule>
  </conditionalFormatting>
  <conditionalFormatting sqref="L7:AP7">
    <cfRule type="expression" dxfId="2" priority="4">
      <formula>COUNTIF(L4:L6,"√")&gt;0</formula>
    </cfRule>
  </conditionalFormatting>
  <conditionalFormatting sqref="L11:AP11">
    <cfRule type="expression" dxfId="3" priority="3">
      <formula>COUNTIF(L8:L10,"√")&gt;0</formula>
    </cfRule>
  </conditionalFormatting>
  <conditionalFormatting sqref="L15:AP15">
    <cfRule type="expression" dxfId="4" priority="2">
      <formula>COUNTIF(L12:L14,"√")&gt;0</formula>
    </cfRule>
  </conditionalFormatting>
  <conditionalFormatting sqref="B4:H9">
    <cfRule type="cellIs" dxfId="5" priority="13" operator="equal">
      <formula>TODAY()</formula>
    </cfRule>
    <cfRule type="expression" dxfId="6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tabSelected="1" zoomScale="85" zoomScaleNormal="85" topLeftCell="A3" workbookViewId="0">
      <selection activeCell="B13" sqref="B13:H13"/>
    </sheetView>
  </sheetViews>
  <sheetFormatPr defaultColWidth="9" defaultRowHeight="16.5"/>
  <cols>
    <col min="1" max="1" width="3.7" customWidth="1"/>
    <col min="2" max="8" width="5.10909090909091" style="1" customWidth="1"/>
    <col min="9" max="10" width="3.92727272727273" style="1" customWidth="1"/>
    <col min="11" max="11" width="46.4636363636364" style="2" customWidth="1"/>
    <col min="12" max="12" width="44.9090909090909" style="2" customWidth="1"/>
    <col min="13" max="13" width="11.7545454545455" style="1" customWidth="1"/>
  </cols>
  <sheetData>
    <row r="1" spans="1:13">
      <c r="A1" s="3"/>
      <c r="K1" s="15" t="s">
        <v>22</v>
      </c>
      <c r="L1" s="15"/>
      <c r="M1" s="15"/>
    </row>
    <row r="2" ht="24" spans="2:13">
      <c r="B2" s="4"/>
      <c r="C2" s="5">
        <v>2024</v>
      </c>
      <c r="D2" s="5"/>
      <c r="E2" s="6" t="s">
        <v>1</v>
      </c>
      <c r="F2" s="7">
        <v>5</v>
      </c>
      <c r="G2" s="6" t="s">
        <v>2</v>
      </c>
      <c r="H2" s="6"/>
      <c r="K2" s="15"/>
      <c r="L2" s="15"/>
      <c r="M2" s="15"/>
    </row>
    <row r="3" ht="22.95" customHeight="1" spans="2:13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K3" s="16" t="s">
        <v>12</v>
      </c>
      <c r="L3" s="16" t="s">
        <v>23</v>
      </c>
      <c r="M3" s="17" t="s">
        <v>24</v>
      </c>
    </row>
    <row r="4" ht="26" customHeight="1" spans="1:13">
      <c r="A4" s="9"/>
      <c r="B4" s="10">
        <f>INT(DATE($C$2,$F$2,0)/7)*7+COLUMN(A1)+7*(ROW(B1)-1)</f>
        <v>45410</v>
      </c>
      <c r="C4" s="10">
        <f>INT(DATE($C$2,$F$2,0)/7)*7+COLUMN(B1)+7*(ROW(C1)-1)</f>
        <v>45411</v>
      </c>
      <c r="D4" s="10">
        <f>INT(DATE($C$2,$F$2,0)/7)*7+COLUMN(C1)+7*(ROW(D1)-1)</f>
        <v>45412</v>
      </c>
      <c r="E4" s="10">
        <f>INT(DATE($C$2,$F$2,0)/7)*7+COLUMN(D1)+7*(ROW(E1)-1)</f>
        <v>45413</v>
      </c>
      <c r="F4" s="10">
        <f>INT(DATE($C$2,$F$2,0)/7)*7+COLUMN(E1)+7*(ROW(F1)-1)</f>
        <v>45414</v>
      </c>
      <c r="G4" s="10">
        <f>INT(DATE($C$2,$F$2,0)/7)*7+COLUMN(F1)+7*(ROW(G1)-1)</f>
        <v>45415</v>
      </c>
      <c r="H4" s="10">
        <f>INT(DATE($C$2,$F$2,0)/7)*7+COLUMN(G1)+7*(ROW(H1)-1)</f>
        <v>45416</v>
      </c>
      <c r="K4" s="18" t="s">
        <v>25</v>
      </c>
      <c r="L4" s="18"/>
      <c r="M4" s="18"/>
    </row>
    <row r="5" ht="26" customHeight="1" spans="2:13">
      <c r="B5" s="10">
        <f>INT(DATE($C$2,$F$2,0)/7)*7+COLUMN(A2)+7*(ROW(B2)-1)</f>
        <v>45417</v>
      </c>
      <c r="C5" s="10">
        <f>INT(DATE($C$2,$F$2,0)/7)*7+COLUMN(B2)+7*(ROW(C2)-1)</f>
        <v>45418</v>
      </c>
      <c r="D5" s="10">
        <f>INT(DATE($C$2,$F$2,0)/7)*7+COLUMN(C2)+7*(ROW(D2)-1)</f>
        <v>45419</v>
      </c>
      <c r="E5" s="10">
        <f>INT(DATE($C$2,$F$2,0)/7)*7+COLUMN(D2)+7*(ROW(E2)-1)</f>
        <v>45420</v>
      </c>
      <c r="F5" s="10">
        <f>INT(DATE($C$2,$F$2,0)/7)*7+COLUMN(E2)+7*(ROW(F2)-1)</f>
        <v>45421</v>
      </c>
      <c r="G5" s="10">
        <f>INT(DATE($C$2,$F$2,0)/7)*7+COLUMN(F2)+7*(ROW(G2)-1)</f>
        <v>45422</v>
      </c>
      <c r="H5" s="10">
        <f>INT(DATE($C$2,$F$2,0)/7)*7+COLUMN(G2)+7*(ROW(H2)-1)</f>
        <v>45423</v>
      </c>
      <c r="K5" s="18" t="s">
        <v>26</v>
      </c>
      <c r="L5" s="18"/>
      <c r="M5" s="18"/>
    </row>
    <row r="6" ht="26" customHeight="1" spans="2:13">
      <c r="B6" s="10">
        <f>INT(DATE($C$2,$F$2,0)/7)*7+COLUMN(A3)+7*(ROW(B3)-1)</f>
        <v>45424</v>
      </c>
      <c r="C6" s="10">
        <f t="shared" ref="C6:H6" si="0">INT(DATE($C$2,$F$2,0)/7)*7+COLUMN(B3)+7*(ROW(C3)-1)</f>
        <v>45425</v>
      </c>
      <c r="D6" s="10">
        <f t="shared" si="0"/>
        <v>45426</v>
      </c>
      <c r="E6" s="10">
        <f t="shared" si="0"/>
        <v>45427</v>
      </c>
      <c r="F6" s="10">
        <f t="shared" si="0"/>
        <v>45428</v>
      </c>
      <c r="G6" s="10">
        <f t="shared" si="0"/>
        <v>45429</v>
      </c>
      <c r="H6" s="10">
        <f t="shared" si="0"/>
        <v>45430</v>
      </c>
      <c r="K6" s="18" t="s">
        <v>27</v>
      </c>
      <c r="L6" s="18"/>
      <c r="M6" s="18"/>
    </row>
    <row r="7" ht="26" customHeight="1" spans="2:13">
      <c r="B7" s="10">
        <f>INT(DATE($C$2,$F$2,0)/7)*7+COLUMN(A4)+7*(ROW(B4)-1)</f>
        <v>45431</v>
      </c>
      <c r="C7" s="10">
        <f>INT(DATE($C$2,$F$2,0)/7)*7+COLUMN(B4)+7*(ROW(C4)-1)</f>
        <v>45432</v>
      </c>
      <c r="D7" s="10">
        <f>INT(DATE($C$2,$F$2,0)/7)*7+COLUMN(C4)+7*(ROW(D4)-1)</f>
        <v>45433</v>
      </c>
      <c r="E7" s="10">
        <f>INT(DATE($C$2,$F$2,0)/7)*7+COLUMN(D4)+7*(ROW(E4)-1)</f>
        <v>45434</v>
      </c>
      <c r="F7" s="10">
        <f>INT(DATE($C$2,$F$2,0)/7)*7+COLUMN(E4)+7*(ROW(F4)-1)</f>
        <v>45435</v>
      </c>
      <c r="G7" s="10">
        <f>INT(DATE($C$2,$F$2,0)/7)*7+COLUMN(F4)+7*(ROW(G4)-1)</f>
        <v>45436</v>
      </c>
      <c r="H7" s="10">
        <f>INT(DATE($C$2,$F$2,0)/7)*7+COLUMN(G4)+7*(ROW(H4)-1)</f>
        <v>45437</v>
      </c>
      <c r="K7" s="18"/>
      <c r="L7" s="18"/>
      <c r="M7" s="18"/>
    </row>
    <row r="8" ht="26" customHeight="1" spans="2:13">
      <c r="B8" s="10">
        <f>INT(DATE($C$2,$F$2,0)/7)*7+COLUMN(A5)+7*(ROW(B5)-1)</f>
        <v>45438</v>
      </c>
      <c r="C8" s="10">
        <f>INT(DATE($C$2,$F$2,0)/7)*7+COLUMN(B5)+7*(ROW(C5)-1)</f>
        <v>45439</v>
      </c>
      <c r="D8" s="10">
        <f>INT(DATE($C$2,$F$2,0)/7)*7+COLUMN(C5)+7*(ROW(D5)-1)</f>
        <v>45440</v>
      </c>
      <c r="E8" s="10">
        <f>INT(DATE($C$2,$F$2,0)/7)*7+COLUMN(D5)+7*(ROW(E5)-1)</f>
        <v>45441</v>
      </c>
      <c r="F8" s="10">
        <f>INT(DATE($C$2,$F$2,0)/7)*7+COLUMN(E5)+7*(ROW(F5)-1)</f>
        <v>45442</v>
      </c>
      <c r="G8" s="10">
        <f>INT(DATE($C$2,$F$2,0)/7)*7+COLUMN(F5)+7*(ROW(G5)-1)</f>
        <v>45443</v>
      </c>
      <c r="H8" s="10">
        <f>INT(DATE($C$2,$F$2,0)/7)*7+COLUMN(G5)+7*(ROW(H5)-1)</f>
        <v>45444</v>
      </c>
      <c r="K8" s="18"/>
      <c r="L8" s="18"/>
      <c r="M8" s="18"/>
    </row>
    <row r="9" ht="37" customHeight="1" spans="2:13">
      <c r="B9" s="11" t="s">
        <v>28</v>
      </c>
      <c r="K9" s="19" t="s">
        <v>29</v>
      </c>
      <c r="L9" s="20"/>
      <c r="M9" s="21"/>
    </row>
    <row r="10" ht="26" customHeight="1" spans="1:13">
      <c r="A10" s="12"/>
      <c r="B10" s="13" t="s">
        <v>30</v>
      </c>
      <c r="C10" s="13"/>
      <c r="D10" s="13"/>
      <c r="E10" s="13"/>
      <c r="F10" s="13"/>
      <c r="G10" s="13"/>
      <c r="H10" s="13"/>
      <c r="I10" s="22" t="s">
        <v>31</v>
      </c>
      <c r="J10" s="22"/>
      <c r="K10" s="23" t="s">
        <v>32</v>
      </c>
      <c r="L10" s="24"/>
      <c r="M10" s="25" t="s">
        <v>33</v>
      </c>
    </row>
    <row r="11" ht="26" customHeight="1" spans="1:13">
      <c r="A11" s="12"/>
      <c r="B11" s="14"/>
      <c r="C11" s="14"/>
      <c r="D11" s="14"/>
      <c r="E11" s="14"/>
      <c r="F11" s="14"/>
      <c r="G11" s="14"/>
      <c r="H11" s="14"/>
      <c r="I11" s="26"/>
      <c r="J11" s="26"/>
      <c r="K11" s="18"/>
      <c r="L11" s="18"/>
      <c r="M11" s="18"/>
    </row>
    <row r="12" ht="26" customHeight="1" spans="1:13">
      <c r="A12" s="12"/>
      <c r="B12" s="14"/>
      <c r="C12" s="14"/>
      <c r="D12" s="14"/>
      <c r="E12" s="14"/>
      <c r="F12" s="14"/>
      <c r="G12" s="14"/>
      <c r="H12" s="14"/>
      <c r="I12" s="26"/>
      <c r="J12" s="26"/>
      <c r="K12" s="18"/>
      <c r="L12" s="18"/>
      <c r="M12" s="18"/>
    </row>
    <row r="13" ht="26" customHeight="1" spans="1:13">
      <c r="A13" s="12"/>
      <c r="B13" s="14"/>
      <c r="C13" s="14"/>
      <c r="D13" s="14"/>
      <c r="E13" s="14"/>
      <c r="F13" s="14"/>
      <c r="G13" s="14"/>
      <c r="H13" s="14"/>
      <c r="I13" s="26"/>
      <c r="J13" s="26"/>
      <c r="K13" s="18"/>
      <c r="L13" s="18"/>
      <c r="M13" s="18"/>
    </row>
    <row r="14" ht="26" customHeight="1" spans="1:13">
      <c r="A14" s="12"/>
      <c r="B14" s="14"/>
      <c r="C14" s="14"/>
      <c r="D14" s="14"/>
      <c r="E14" s="14"/>
      <c r="F14" s="14"/>
      <c r="G14" s="14"/>
      <c r="H14" s="14"/>
      <c r="I14" s="26"/>
      <c r="J14" s="26"/>
      <c r="K14" s="18"/>
      <c r="L14" s="18"/>
      <c r="M14" s="18"/>
    </row>
    <row r="15" ht="26" customHeight="1" spans="1:13">
      <c r="A15" s="12"/>
      <c r="B15" s="14"/>
      <c r="C15" s="14"/>
      <c r="D15" s="14"/>
      <c r="E15" s="14"/>
      <c r="F15" s="14"/>
      <c r="G15" s="14"/>
      <c r="H15" s="14"/>
      <c r="I15" s="26"/>
      <c r="J15" s="26"/>
      <c r="K15" s="18"/>
      <c r="L15" s="18"/>
      <c r="M15" s="18"/>
    </row>
    <row r="16" ht="26" customHeight="1" spans="1:13">
      <c r="A16" s="12"/>
      <c r="B16" s="14"/>
      <c r="C16" s="14"/>
      <c r="D16" s="14"/>
      <c r="E16" s="14"/>
      <c r="F16" s="14"/>
      <c r="G16" s="14"/>
      <c r="H16" s="14"/>
      <c r="I16" s="26"/>
      <c r="J16" s="26"/>
      <c r="K16" s="18"/>
      <c r="L16" s="18"/>
      <c r="M16" s="18"/>
    </row>
    <row r="17" ht="26" customHeight="1" spans="1:13">
      <c r="A17" s="12"/>
      <c r="B17" s="14"/>
      <c r="C17" s="14"/>
      <c r="D17" s="14"/>
      <c r="E17" s="14"/>
      <c r="F17" s="14"/>
      <c r="G17" s="14"/>
      <c r="H17" s="14"/>
      <c r="I17" s="26"/>
      <c r="J17" s="26"/>
      <c r="K17" s="18"/>
      <c r="L17" s="18"/>
      <c r="M17" s="18"/>
    </row>
    <row r="18" ht="26" customHeight="1" spans="1:13">
      <c r="A18" s="12"/>
      <c r="B18" s="14"/>
      <c r="C18" s="14"/>
      <c r="D18" s="14"/>
      <c r="E18" s="14"/>
      <c r="F18" s="14"/>
      <c r="G18" s="14"/>
      <c r="H18" s="14"/>
      <c r="I18" s="26"/>
      <c r="J18" s="26"/>
      <c r="K18" s="18"/>
      <c r="L18" s="18"/>
      <c r="M18" s="18"/>
    </row>
    <row r="19" ht="26" customHeight="1" spans="1:13">
      <c r="A19" s="12"/>
      <c r="B19" s="14"/>
      <c r="C19" s="14"/>
      <c r="D19" s="14"/>
      <c r="E19" s="14"/>
      <c r="F19" s="14"/>
      <c r="G19" s="14"/>
      <c r="H19" s="14"/>
      <c r="I19" s="26"/>
      <c r="J19" s="26"/>
      <c r="K19" s="18"/>
      <c r="L19" s="18"/>
      <c r="M19" s="18"/>
    </row>
    <row r="20" ht="26" customHeight="1" spans="1:13">
      <c r="A20" s="12"/>
      <c r="B20" s="14"/>
      <c r="C20" s="14"/>
      <c r="D20" s="14"/>
      <c r="E20" s="14"/>
      <c r="F20" s="14"/>
      <c r="G20" s="14"/>
      <c r="H20" s="14"/>
      <c r="I20" s="26"/>
      <c r="J20" s="26"/>
      <c r="K20" s="18"/>
      <c r="L20" s="18"/>
      <c r="M20" s="18"/>
    </row>
  </sheetData>
  <mergeCells count="27">
    <mergeCell ref="C2:D2"/>
    <mergeCell ref="B9:H9"/>
    <mergeCell ref="K9:M9"/>
    <mergeCell ref="B10:H10"/>
    <mergeCell ref="I10:J10"/>
    <mergeCell ref="K10:L10"/>
    <mergeCell ref="B11:H11"/>
    <mergeCell ref="I11:J11"/>
    <mergeCell ref="B12:H12"/>
    <mergeCell ref="I12:J12"/>
    <mergeCell ref="B13:H13"/>
    <mergeCell ref="I13:J13"/>
    <mergeCell ref="B14:H14"/>
    <mergeCell ref="I14:J14"/>
    <mergeCell ref="B15:H15"/>
    <mergeCell ref="I15:J15"/>
    <mergeCell ref="B16:H16"/>
    <mergeCell ref="I16:J16"/>
    <mergeCell ref="B17:H17"/>
    <mergeCell ref="I17:J17"/>
    <mergeCell ref="B18:H18"/>
    <mergeCell ref="I18:J18"/>
    <mergeCell ref="B19:H19"/>
    <mergeCell ref="I19:J19"/>
    <mergeCell ref="B20:H20"/>
    <mergeCell ref="I20:J20"/>
    <mergeCell ref="K1:M2"/>
  </mergeCells>
  <conditionalFormatting sqref="M3">
    <cfRule type="cellIs" dxfId="0" priority="1" operator="equal">
      <formula>DAY(TODAY())</formula>
    </cfRule>
  </conditionalFormatting>
  <conditionalFormatting sqref="B4:I8">
    <cfRule type="cellIs" dxfId="5" priority="22" operator="equal">
      <formula>TODAY()</formula>
    </cfRule>
    <cfRule type="expression" dxfId="6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月度</vt:lpstr>
      <vt:lpstr>当日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2024-05-14T06:03:40Z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2052-12.1.0.16729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18879A089BA041D789A75BAD8B928C76_13</vt:lpwstr>
  </property>
</Properties>
</file>