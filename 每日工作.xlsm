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14820" windowHeight="7000" activeTab="1"/>
  </bookViews>
  <sheets>
    <sheet name="月度" sheetId="2" r:id="rId1"/>
    <sheet name="当日" sheetId="1" r:id="rId2"/>
  </sheets>
  <definedNames>
    <definedName name="_xlnm._FilterDatabase" localSheetId="1" hidden="1">当日!$I$9:$M$10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<sst xmlns="http://schemas.openxmlformats.org/spreadsheetml/2006/main" count="42" uniqueCount="32">
  <si>
    <t>目标表</t>
  </si>
  <si>
    <t>年</t>
  </si>
  <si>
    <t>月</t>
  </si>
  <si>
    <t>日</t>
  </si>
  <si>
    <t>一</t>
  </si>
  <si>
    <t>二</t>
  </si>
  <si>
    <t>三</t>
  </si>
  <si>
    <t>四</t>
  </si>
  <si>
    <t>五</t>
  </si>
  <si>
    <t>六</t>
  </si>
  <si>
    <t>目标</t>
  </si>
  <si>
    <t>事项弹性</t>
  </si>
  <si>
    <t>工作</t>
  </si>
  <si>
    <t>基本工作</t>
  </si>
  <si>
    <t>向上管理-阅读笔记</t>
  </si>
  <si>
    <t>流量-副业</t>
  </si>
  <si>
    <t>上课</t>
  </si>
  <si>
    <t>完成作业</t>
  </si>
  <si>
    <t>提升</t>
  </si>
  <si>
    <t>股票阅读笔记</t>
  </si>
  <si>
    <t>前端专业网课</t>
  </si>
  <si>
    <t>乱逛转发呆、听歌</t>
  </si>
  <si>
    <t>本日快捷清单</t>
  </si>
  <si>
    <t>备注</t>
  </si>
  <si>
    <t>完成</t>
  </si>
  <si>
    <t>集草器清单</t>
  </si>
  <si>
    <t>本周目的</t>
  </si>
  <si>
    <t>目标-利益关系人</t>
  </si>
  <si>
    <t>日期</t>
  </si>
  <si>
    <t>工程</t>
  </si>
  <si>
    <t>交付日期</t>
  </si>
  <si>
    <t>高级搜索 加载节点速度有问题，之后做一个 异步加载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</si>
</sst>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6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  <numFmt numFmtId="176" formatCode="dd"/>
    <numFmt numFmtId="177" formatCode="d"/>
  </numFmts>
  <fonts count="32">
    <font>
      <sz val="11"/>
      <color theme="1"/>
      <name val="宋体"/>
      <charset val="134"/>
      <scheme val="minor"/>
    </font>
    <font>
      <sz val="11"/>
      <color theme="1"/>
      <name val="微软雅黑"/>
      <charset val="134"/>
    </font>
    <font>
      <sz val="9"/>
      <color theme="1"/>
      <name val="微软雅黑"/>
      <charset val="134"/>
    </font>
    <font>
      <sz val="18"/>
      <color theme="1"/>
      <name val="微软雅黑"/>
      <charset val="134"/>
    </font>
    <font>
      <sz val="12"/>
      <color theme="1"/>
      <name val="微软雅黑"/>
      <charset val="134"/>
    </font>
    <font>
      <sz val="11"/>
      <color theme="4" tint="0.399945066682943"/>
      <name val="宋体"/>
      <charset val="134"/>
      <scheme val="minor"/>
    </font>
    <font>
      <b/>
      <sz val="14"/>
      <color theme="1"/>
      <name val="微软雅黑"/>
      <charset val="134"/>
    </font>
    <font>
      <sz val="11"/>
      <color theme="0"/>
      <name val="微软雅黑"/>
      <charset val="134"/>
    </font>
    <font>
      <b/>
      <sz val="14"/>
      <name val="微软雅黑"/>
      <charset val="134"/>
    </font>
    <font>
      <sz val="12"/>
      <color theme="0"/>
      <name val="微软雅黑"/>
      <charset val="134"/>
    </font>
    <font>
      <sz val="12"/>
      <name val="微软雅黑"/>
      <charset val="134"/>
    </font>
    <font>
      <strike/>
      <sz val="12"/>
      <name val="微软雅黑"/>
      <charset val="134"/>
    </font>
    <font>
      <sz val="11"/>
      <color theme="5"/>
      <name val="微软雅黑"/>
      <charset val="134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sz val="11"/>
      <color rgb="FF3F3F76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9C6500"/>
      <name val="宋体"/>
      <charset val="0"/>
      <scheme val="minor"/>
    </font>
    <font>
      <sz val="11"/>
      <color theme="0"/>
      <name val="宋体"/>
      <charset val="0"/>
      <scheme val="minor"/>
    </font>
    <font>
      <sz val="11"/>
      <color theme="1"/>
      <name val="宋体"/>
      <charset val="0"/>
      <scheme val="minor"/>
    </font>
  </fonts>
  <fills count="36">
    <fill>
      <patternFill patternType="none"/>
    </fill>
    <fill>
      <patternFill patternType="gray125"/>
    </fill>
    <fill>
      <patternFill patternType="solid">
        <fgColor theme="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79995117038483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4506668294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7">
    <border>
      <left/>
      <right/>
      <top/>
      <bottom/>
      <diagonal/>
    </border>
    <border>
      <left/>
      <right style="thin">
        <color theme="0" tint="-0.0499893185216834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42" fontId="0" fillId="0" borderId="0" applyFont="0" applyFill="0" applyBorder="0" applyAlignment="0" applyProtection="0">
      <alignment vertical="center"/>
    </xf>
    <xf numFmtId="0" fontId="13" fillId="0" borderId="0" applyNumberFormat="0" applyFill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0" fillId="8" borderId="9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17" fillId="0" borderId="0" applyNumberFormat="0" applyFill="0" applyBorder="0" applyAlignment="0" applyProtection="0">
      <alignment vertical="center"/>
    </xf>
    <xf numFmtId="0" fontId="18" fillId="0" borderId="10" applyNumberFormat="0" applyFill="0" applyAlignment="0" applyProtection="0">
      <alignment vertical="center"/>
    </xf>
    <xf numFmtId="0" fontId="19" fillId="0" borderId="10" applyNumberFormat="0" applyFill="0" applyAlignment="0" applyProtection="0">
      <alignment vertical="center"/>
    </xf>
    <xf numFmtId="0" fontId="20" fillId="0" borderId="11" applyNumberFormat="0" applyFill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21" fillId="9" borderId="12" applyNumberFormat="0" applyAlignment="0" applyProtection="0">
      <alignment vertical="center"/>
    </xf>
    <xf numFmtId="0" fontId="22" fillId="10" borderId="13" applyNumberFormat="0" applyAlignment="0" applyProtection="0">
      <alignment vertical="center"/>
    </xf>
    <xf numFmtId="0" fontId="23" fillId="10" borderId="12" applyNumberFormat="0" applyAlignment="0" applyProtection="0">
      <alignment vertical="center"/>
    </xf>
    <xf numFmtId="0" fontId="24" fillId="11" borderId="14" applyNumberFormat="0" applyAlignment="0" applyProtection="0">
      <alignment vertical="center"/>
    </xf>
    <xf numFmtId="0" fontId="25" fillId="0" borderId="15" applyNumberFormat="0" applyFill="0" applyAlignment="0" applyProtection="0">
      <alignment vertical="center"/>
    </xf>
    <xf numFmtId="0" fontId="26" fillId="0" borderId="16" applyNumberFormat="0" applyFill="0" applyAlignment="0" applyProtection="0">
      <alignment vertical="center"/>
    </xf>
    <xf numFmtId="0" fontId="27" fillId="12" borderId="0" applyNumberFormat="0" applyBorder="0" applyAlignment="0" applyProtection="0">
      <alignment vertical="center"/>
    </xf>
    <xf numFmtId="0" fontId="28" fillId="13" borderId="0" applyNumberFormat="0" applyBorder="0" applyAlignment="0" applyProtection="0">
      <alignment vertical="center"/>
    </xf>
    <xf numFmtId="0" fontId="29" fillId="14" borderId="0" applyNumberFormat="0" applyBorder="0" applyAlignment="0" applyProtection="0">
      <alignment vertical="center"/>
    </xf>
    <xf numFmtId="0" fontId="30" fillId="15" borderId="0" applyNumberFormat="0" applyBorder="0" applyAlignment="0" applyProtection="0">
      <alignment vertical="center"/>
    </xf>
    <xf numFmtId="0" fontId="31" fillId="16" borderId="0" applyNumberFormat="0" applyBorder="0" applyAlignment="0" applyProtection="0">
      <alignment vertical="center"/>
    </xf>
    <xf numFmtId="0" fontId="31" fillId="17" borderId="0" applyNumberFormat="0" applyBorder="0" applyAlignment="0" applyProtection="0">
      <alignment vertical="center"/>
    </xf>
    <xf numFmtId="0" fontId="30" fillId="18" borderId="0" applyNumberFormat="0" applyBorder="0" applyAlignment="0" applyProtection="0">
      <alignment vertical="center"/>
    </xf>
    <xf numFmtId="0" fontId="30" fillId="2" borderId="0" applyNumberFormat="0" applyBorder="0" applyAlignment="0" applyProtection="0">
      <alignment vertical="center"/>
    </xf>
    <xf numFmtId="0" fontId="31" fillId="4" borderId="0" applyNumberFormat="0" applyBorder="0" applyAlignment="0" applyProtection="0">
      <alignment vertical="center"/>
    </xf>
    <xf numFmtId="0" fontId="31" fillId="19" borderId="0" applyNumberFormat="0" applyBorder="0" applyAlignment="0" applyProtection="0">
      <alignment vertical="center"/>
    </xf>
    <xf numFmtId="0" fontId="30" fillId="20" borderId="0" applyNumberFormat="0" applyBorder="0" applyAlignment="0" applyProtection="0">
      <alignment vertical="center"/>
    </xf>
    <xf numFmtId="0" fontId="30" fillId="21" borderId="0" applyNumberFormat="0" applyBorder="0" applyAlignment="0" applyProtection="0">
      <alignment vertical="center"/>
    </xf>
    <xf numFmtId="0" fontId="31" fillId="22" borderId="0" applyNumberFormat="0" applyBorder="0" applyAlignment="0" applyProtection="0">
      <alignment vertical="center"/>
    </xf>
    <xf numFmtId="0" fontId="31" fillId="23" borderId="0" applyNumberFormat="0" applyBorder="0" applyAlignment="0" applyProtection="0">
      <alignment vertical="center"/>
    </xf>
    <xf numFmtId="0" fontId="30" fillId="24" borderId="0" applyNumberFormat="0" applyBorder="0" applyAlignment="0" applyProtection="0">
      <alignment vertical="center"/>
    </xf>
    <xf numFmtId="0" fontId="30" fillId="25" borderId="0" applyNumberFormat="0" applyBorder="0" applyAlignment="0" applyProtection="0">
      <alignment vertical="center"/>
    </xf>
    <xf numFmtId="0" fontId="31" fillId="26" borderId="0" applyNumberFormat="0" applyBorder="0" applyAlignment="0" applyProtection="0">
      <alignment vertical="center"/>
    </xf>
    <xf numFmtId="0" fontId="31" fillId="27" borderId="0" applyNumberFormat="0" applyBorder="0" applyAlignment="0" applyProtection="0">
      <alignment vertical="center"/>
    </xf>
    <xf numFmtId="0" fontId="30" fillId="28" borderId="0" applyNumberFormat="0" applyBorder="0" applyAlignment="0" applyProtection="0">
      <alignment vertical="center"/>
    </xf>
    <xf numFmtId="0" fontId="30" fillId="29" borderId="0" applyNumberFormat="0" applyBorder="0" applyAlignment="0" applyProtection="0">
      <alignment vertical="center"/>
    </xf>
    <xf numFmtId="0" fontId="31" fillId="30" borderId="0" applyNumberFormat="0" applyBorder="0" applyAlignment="0" applyProtection="0">
      <alignment vertical="center"/>
    </xf>
    <xf numFmtId="0" fontId="31" fillId="6" borderId="0" applyNumberFormat="0" applyBorder="0" applyAlignment="0" applyProtection="0">
      <alignment vertical="center"/>
    </xf>
    <xf numFmtId="0" fontId="30" fillId="31" borderId="0" applyNumberFormat="0" applyBorder="0" applyAlignment="0" applyProtection="0">
      <alignment vertical="center"/>
    </xf>
    <xf numFmtId="0" fontId="30" fillId="32" borderId="0" applyNumberFormat="0" applyBorder="0" applyAlignment="0" applyProtection="0">
      <alignment vertical="center"/>
    </xf>
    <xf numFmtId="0" fontId="31" fillId="33" borderId="0" applyNumberFormat="0" applyBorder="0" applyAlignment="0" applyProtection="0">
      <alignment vertical="center"/>
    </xf>
    <xf numFmtId="0" fontId="31" fillId="34" borderId="0" applyNumberFormat="0" applyBorder="0" applyAlignment="0" applyProtection="0">
      <alignment vertical="center"/>
    </xf>
    <xf numFmtId="0" fontId="30" fillId="35" borderId="0" applyNumberFormat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1" fillId="0" borderId="0" xfId="0" applyFont="1" applyAlignment="1">
      <alignment horizontal="center" vertical="center"/>
    </xf>
    <xf numFmtId="0" fontId="1" fillId="0" borderId="0" xfId="0" applyFont="1">
      <alignment vertical="center"/>
    </xf>
    <xf numFmtId="0" fontId="0" fillId="0" borderId="0" xfId="0" applyNumberFormat="1">
      <alignment vertical="center"/>
    </xf>
    <xf numFmtId="0" fontId="2" fillId="0" borderId="0" xfId="0" applyFont="1" applyFill="1" applyAlignment="1">
      <alignment vertical="center" wrapText="1"/>
    </xf>
    <xf numFmtId="0" fontId="3" fillId="0" borderId="0" xfId="0" applyFont="1" applyFill="1" applyAlignment="1">
      <alignment horizontal="center" vertical="center" wrapText="1"/>
    </xf>
    <xf numFmtId="0" fontId="4" fillId="0" borderId="0" xfId="0" applyFont="1" applyFill="1" applyAlignment="1">
      <alignment vertical="center" wrapText="1"/>
    </xf>
    <xf numFmtId="0" fontId="3" fillId="0" borderId="0" xfId="0" applyFont="1" applyFill="1" applyAlignment="1">
      <alignment vertical="center" wrapText="1"/>
    </xf>
    <xf numFmtId="0" fontId="4" fillId="2" borderId="1" xfId="0" applyFont="1" applyFill="1" applyBorder="1" applyAlignment="1">
      <alignment horizontal="center" vertical="center" wrapText="1"/>
    </xf>
    <xf numFmtId="0" fontId="5" fillId="0" borderId="0" xfId="0" applyFont="1">
      <alignment vertical="center"/>
    </xf>
    <xf numFmtId="176" fontId="4" fillId="3" borderId="2" xfId="0" applyNumberFormat="1" applyFont="1" applyFill="1" applyBorder="1" applyAlignment="1">
      <alignment horizontal="center" vertical="center" wrapText="1"/>
    </xf>
    <xf numFmtId="0" fontId="6" fillId="0" borderId="0" xfId="0" applyFont="1" applyAlignment="1">
      <alignment horizontal="center" vertical="center"/>
    </xf>
    <xf numFmtId="0" fontId="0" fillId="0" borderId="0" xfId="0" applyFill="1">
      <alignment vertical="center"/>
    </xf>
    <xf numFmtId="0" fontId="7" fillId="2" borderId="0" xfId="0" applyFont="1" applyFill="1" applyAlignment="1">
      <alignment horizontal="center" vertical="center"/>
    </xf>
    <xf numFmtId="0" fontId="1" fillId="4" borderId="0" xfId="0" applyFont="1" applyFill="1" applyAlignment="1">
      <alignment horizontal="left" vertical="center"/>
    </xf>
    <xf numFmtId="0" fontId="8" fillId="0" borderId="0" xfId="0" applyFont="1" applyFill="1" applyAlignment="1">
      <alignment horizontal="center" vertical="center"/>
    </xf>
    <xf numFmtId="0" fontId="9" fillId="2" borderId="3" xfId="0" applyFont="1" applyFill="1" applyBorder="1" applyAlignment="1">
      <alignment horizontal="center" vertical="center"/>
    </xf>
    <xf numFmtId="177" fontId="9" fillId="2" borderId="3" xfId="0" applyNumberFormat="1" applyFont="1" applyFill="1" applyBorder="1" applyAlignment="1">
      <alignment horizontal="center" vertical="center"/>
    </xf>
    <xf numFmtId="0" fontId="10" fillId="0" borderId="2" xfId="0" applyFont="1" applyFill="1" applyBorder="1" applyAlignment="1">
      <alignment horizontal="center" vertical="center" wrapText="1"/>
    </xf>
    <xf numFmtId="0" fontId="11" fillId="0" borderId="2" xfId="0" applyFont="1" applyFill="1" applyBorder="1" applyAlignment="1">
      <alignment horizontal="center" vertical="center" wrapText="1"/>
    </xf>
    <xf numFmtId="0" fontId="8" fillId="0" borderId="4" xfId="0" applyFont="1" applyFill="1" applyBorder="1" applyAlignment="1">
      <alignment horizontal="center" vertical="center" wrapText="1"/>
    </xf>
    <xf numFmtId="0" fontId="10" fillId="0" borderId="5" xfId="0" applyFont="1" applyFill="1" applyBorder="1" applyAlignment="1">
      <alignment horizontal="center" vertical="center" wrapText="1"/>
    </xf>
    <xf numFmtId="0" fontId="10" fillId="0" borderId="6" xfId="0" applyFont="1" applyFill="1" applyBorder="1" applyAlignment="1">
      <alignment horizontal="center" vertical="center" wrapText="1"/>
    </xf>
    <xf numFmtId="0" fontId="12" fillId="0" borderId="0" xfId="0" applyFont="1" applyFill="1" applyAlignment="1">
      <alignment horizontal="center" vertical="center"/>
    </xf>
    <xf numFmtId="0" fontId="9" fillId="2" borderId="4" xfId="0" applyFont="1" applyFill="1" applyBorder="1" applyAlignment="1">
      <alignment horizontal="center" vertical="center" wrapText="1"/>
    </xf>
    <xf numFmtId="0" fontId="9" fillId="2" borderId="6" xfId="0" applyFont="1" applyFill="1" applyBorder="1" applyAlignment="1">
      <alignment horizontal="center" vertical="center" wrapText="1"/>
    </xf>
    <xf numFmtId="0" fontId="9" fillId="2" borderId="2" xfId="0" applyFont="1" applyFill="1" applyBorder="1" applyAlignment="1">
      <alignment horizontal="center" vertical="center" wrapText="1"/>
    </xf>
    <xf numFmtId="0" fontId="1" fillId="0" borderId="0" xfId="0" applyFont="1" applyFill="1" applyAlignment="1">
      <alignment horizontal="center" vertical="center"/>
    </xf>
    <xf numFmtId="0" fontId="10" fillId="0" borderId="4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/>
    </xf>
    <xf numFmtId="0" fontId="10" fillId="0" borderId="7" xfId="0" applyFont="1" applyFill="1" applyBorder="1" applyAlignment="1">
      <alignment horizontal="center" vertical="center" wrapText="1"/>
    </xf>
    <xf numFmtId="0" fontId="10" fillId="0" borderId="8" xfId="0" applyNumberFormat="1" applyFont="1" applyFill="1" applyBorder="1" applyAlignment="1">
      <alignment horizontal="center" vertical="center"/>
    </xf>
    <xf numFmtId="0" fontId="10" fillId="0" borderId="3" xfId="0" applyNumberFormat="1" applyFont="1" applyFill="1" applyBorder="1" applyAlignment="1">
      <alignment horizontal="center" vertical="center"/>
    </xf>
    <xf numFmtId="0" fontId="10" fillId="5" borderId="3" xfId="0" applyFont="1" applyFill="1" applyBorder="1" applyAlignment="1">
      <alignment horizontal="center" vertical="center" wrapText="1"/>
    </xf>
    <xf numFmtId="0" fontId="10" fillId="0" borderId="3" xfId="0" applyFont="1" applyFill="1" applyBorder="1" applyAlignment="1">
      <alignment horizontal="center" vertical="center" wrapText="1"/>
    </xf>
    <xf numFmtId="0" fontId="10" fillId="0" borderId="7" xfId="0" applyNumberFormat="1" applyFont="1" applyFill="1" applyBorder="1" applyAlignment="1">
      <alignment horizontal="center" vertical="center" wrapText="1"/>
    </xf>
    <xf numFmtId="0" fontId="10" fillId="6" borderId="2" xfId="0" applyFont="1" applyFill="1" applyBorder="1" applyAlignment="1">
      <alignment horizontal="center" vertical="center" wrapText="1"/>
    </xf>
    <xf numFmtId="0" fontId="10" fillId="7" borderId="6" xfId="0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4">
    <dxf>
      <fill>
        <patternFill patternType="solid">
          <bgColor theme="7" tint="0.399975585192419"/>
        </patternFill>
      </fill>
    </dxf>
    <dxf>
      <numFmt numFmtId="178" formatCode=";;;"/>
    </dxf>
    <dxf>
      <font>
        <color theme="5" tint="0.799951170384838"/>
      </font>
      <fill>
        <patternFill patternType="solid">
          <bgColor theme="5" tint="0.799951170384838"/>
        </patternFill>
      </fill>
    </dxf>
    <dxf>
      <font>
        <color theme="8" tint="0.599993896298105"/>
      </font>
      <fill>
        <patternFill patternType="solid">
          <bgColor theme="8" tint="0.599993896298105"/>
        </patternFill>
      </fill>
    </dxf>
    <dxf>
      <font>
        <color theme="8" tint="0.399945066682943"/>
      </font>
      <fill>
        <patternFill patternType="solid">
          <bgColor theme="8" tint="0.399945066682943"/>
        </patternFill>
      </fill>
    </dxf>
    <dxf>
      <font>
        <color theme="0"/>
      </font>
      <fill>
        <patternFill patternType="solid">
          <bgColor theme="5"/>
        </patternFill>
      </fill>
    </dxf>
    <dxf>
      <font>
        <color theme="0"/>
      </font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  <dxf>
      <fill>
        <patternFill patternType="solid">
          <bgColor theme="4" tint="0.799951170384838"/>
        </patternFill>
      </fill>
    </dxf>
  </dxfs>
  <tableStyles count="0" defaultTableStyle="TableStyleMedium2" defaultPivotStyle="PivotStyleLight16"/>
  <colors>
    <mruColors>
      <color rgb="007DAAAB"/>
      <color rgb="00696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tables/table1.xml><?xml version="1.0" encoding="utf-8"?>
<table xmlns="http://schemas.openxmlformats.org/spreadsheetml/2006/main" id="2" name="表8_53" displayName="表8_53" ref="B3:H9" totalsRowShown="0">
  <tableColumns count="7">
    <tableColumn id="1" name="日">
      <calculatedColumnFormula>INT(DATE($C$2,$F$2,0)/7)*7+COLUMN(A1)+7*(ROW(B1)-1)</calculatedColumnFormula>
    </tableColumn>
    <tableColumn id="2" name="一">
      <calculatedColumnFormula>INT(DATE($C$2,$F$2,0)/7)*7+COLUMN(B1)+7*(ROW(C1)-1)</calculatedColumnFormula>
    </tableColumn>
    <tableColumn id="3" name="二">
      <calculatedColumnFormula>INT(DATE($C$2,$F$2,0)/7)*7+COLUMN(C1)+7*(ROW(D1)-1)</calculatedColumnFormula>
    </tableColumn>
    <tableColumn id="4" name="三">
      <calculatedColumnFormula>INT(DATE($C$2,$F$2,0)/7)*7+COLUMN(D1)+7*(ROW(E1)-1)</calculatedColumnFormula>
    </tableColumn>
    <tableColumn id="5" name="四">
      <calculatedColumnFormula>INT(DATE($C$2,$F$2,0)/7)*7+COLUMN(E1)+7*(ROW(F1)-1)</calculatedColumnFormula>
    </tableColumn>
    <tableColumn id="6" name="五">
      <calculatedColumnFormula>INT(DATE($C$2,$F$2,0)/7)*7+COLUMN(F1)+7*(ROW(G1)-1)</calculatedColumnFormula>
    </tableColumn>
    <tableColumn id="7" name="六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id="1" name="表8_5" displayName="表8_5" ref="B3:H8" totalsRowShown="0">
  <tableColumns count="7">
    <tableColumn id="1" name="日" dataDxfId="7">
      <calculatedColumnFormula>INT(DATE($C$2,$F$2,0)/7)*7+COLUMN(A1)+7*(ROW(B1)-1)</calculatedColumnFormula>
    </tableColumn>
    <tableColumn id="2" name="一" dataDxfId="8">
      <calculatedColumnFormula>INT(DATE($C$2,$F$2,0)/7)*7+COLUMN(B1)+7*(ROW(C1)-1)</calculatedColumnFormula>
    </tableColumn>
    <tableColumn id="3" name="二" dataDxfId="9">
      <calculatedColumnFormula>INT(DATE($C$2,$F$2,0)/7)*7+COLUMN(C1)+7*(ROW(D1)-1)</calculatedColumnFormula>
    </tableColumn>
    <tableColumn id="4" name="三" dataDxfId="10">
      <calculatedColumnFormula>INT(DATE($C$2,$F$2,0)/7)*7+COLUMN(D1)+7*(ROW(E1)-1)</calculatedColumnFormula>
    </tableColumn>
    <tableColumn id="5" name="四" dataDxfId="11">
      <calculatedColumnFormula>INT(DATE($C$2,$F$2,0)/7)*7+COLUMN(E1)+7*(ROW(F1)-1)</calculatedColumnFormula>
    </tableColumn>
    <tableColumn id="6" name="五" dataDxfId="12">
      <calculatedColumnFormula>INT(DATE($C$2,$F$2,0)/7)*7+COLUMN(F1)+7*(ROW(G1)-1)</calculatedColumnFormula>
    </tableColumn>
    <tableColumn id="7" name="六" dataDxfId="13">
      <calculatedColumnFormula>INT(DATE($C$2,$F$2,0)/7)*7+COLUMN(G1)+7*(ROW(H1)-1)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riel">
      <a:dk1>
        <a:sysClr val="windowText" lastClr="000000"/>
      </a:dk1>
      <a:lt1>
        <a:sysClr val="window" lastClr="FFFFFF"/>
      </a:lt1>
      <a:dk2>
        <a:srgbClr val="575F6D"/>
      </a:dk2>
      <a:lt2>
        <a:srgbClr val="FFF39D"/>
      </a:lt2>
      <a:accent1>
        <a:srgbClr val="FE8637"/>
      </a:accent1>
      <a:accent2>
        <a:srgbClr val="7598D9"/>
      </a:accent2>
      <a:accent3>
        <a:srgbClr val="B32C16"/>
      </a:accent3>
      <a:accent4>
        <a:srgbClr val="F5CD2D"/>
      </a:accent4>
      <a:accent5>
        <a:srgbClr val="AEBAD5"/>
      </a:accent5>
      <a:accent6>
        <a:srgbClr val="777C84"/>
      </a:accent6>
      <a:hlink>
        <a:srgbClr val="D2611C"/>
      </a:hlink>
      <a:folHlink>
        <a:srgbClr val="3B435B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AP33"/>
  <sheetViews>
    <sheetView showGridLines="0" showZeros="0" zoomScale="81" zoomScaleNormal="81" workbookViewId="0">
      <selection activeCell="K4" sqref="K4"/>
    </sheetView>
  </sheetViews>
  <sheetFormatPr defaultColWidth="9" defaultRowHeight="16.5"/>
  <cols>
    <col min="1" max="1" width="0.781818181818182" customWidth="1"/>
    <col min="2" max="2" width="4.44545454545455" style="1" customWidth="1"/>
    <col min="3" max="3" width="5" style="1" customWidth="1"/>
    <col min="4" max="4" width="4.55454545454545" style="1" customWidth="1"/>
    <col min="5" max="5" width="5.10909090909091" style="1" customWidth="1"/>
    <col min="6" max="6" width="5.33636363636364" style="1" customWidth="1"/>
    <col min="7" max="7" width="5" style="1" customWidth="1"/>
    <col min="8" max="8" width="4.78181818181818" style="1" customWidth="1"/>
    <col min="9" max="9" width="1" style="1" customWidth="1"/>
    <col min="10" max="10" width="10.4454545454545" style="2" customWidth="1"/>
    <col min="11" max="11" width="21.3363636363636" style="2" customWidth="1"/>
    <col min="12" max="42" width="3.44545454545455" style="1" customWidth="1"/>
  </cols>
  <sheetData>
    <row r="1" spans="1:42">
      <c r="A1" s="3"/>
      <c r="J1" s="15" t="s">
        <v>0</v>
      </c>
      <c r="K1" s="15"/>
      <c r="L1" s="15"/>
      <c r="M1" s="15"/>
      <c r="N1" s="15"/>
      <c r="O1" s="15"/>
      <c r="P1" s="15"/>
      <c r="Q1" s="15"/>
      <c r="R1" s="15"/>
      <c r="S1" s="15"/>
      <c r="T1" s="15"/>
      <c r="U1" s="15"/>
      <c r="V1" s="15"/>
      <c r="W1" s="15"/>
      <c r="X1" s="15"/>
      <c r="Y1" s="15"/>
      <c r="Z1" s="15"/>
      <c r="AA1" s="15"/>
      <c r="AB1" s="15"/>
      <c r="AC1" s="15"/>
      <c r="AD1" s="15"/>
      <c r="AE1" s="15"/>
      <c r="AF1" s="15"/>
      <c r="AG1" s="15"/>
      <c r="AH1" s="15"/>
      <c r="AI1" s="15"/>
      <c r="AJ1" s="15"/>
      <c r="AK1" s="15"/>
      <c r="AL1" s="15"/>
      <c r="AM1" s="15"/>
      <c r="AN1" s="15"/>
      <c r="AO1" s="15"/>
      <c r="AP1" s="15"/>
    </row>
    <row r="2" ht="24" spans="2:42">
      <c r="B2" s="4"/>
      <c r="C2" s="5">
        <v>2024</v>
      </c>
      <c r="D2" s="5"/>
      <c r="E2" s="6" t="s">
        <v>1</v>
      </c>
      <c r="F2" s="7">
        <v>5</v>
      </c>
      <c r="G2" s="6" t="s">
        <v>2</v>
      </c>
      <c r="H2" s="6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  <c r="X2" s="15"/>
      <c r="Y2" s="15"/>
      <c r="Z2" s="15"/>
      <c r="AA2" s="15"/>
      <c r="AB2" s="15"/>
      <c r="AC2" s="15"/>
      <c r="AD2" s="15"/>
      <c r="AE2" s="15"/>
      <c r="AF2" s="15"/>
      <c r="AG2" s="15"/>
      <c r="AH2" s="15"/>
      <c r="AI2" s="15"/>
      <c r="AJ2" s="15"/>
      <c r="AK2" s="15"/>
      <c r="AL2" s="15"/>
      <c r="AM2" s="15"/>
      <c r="AN2" s="15"/>
      <c r="AO2" s="15"/>
      <c r="AP2" s="15"/>
    </row>
    <row r="3" ht="22.95" customHeight="1" spans="2:42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J3" s="16" t="s">
        <v>10</v>
      </c>
      <c r="K3" s="16" t="s">
        <v>11</v>
      </c>
      <c r="L3" s="17">
        <f>1</f>
        <v>1</v>
      </c>
      <c r="M3" s="17">
        <f t="shared" ref="M3:AP3" si="0">L3+1</f>
        <v>2</v>
      </c>
      <c r="N3" s="17">
        <f t="shared" si="0"/>
        <v>3</v>
      </c>
      <c r="O3" s="17">
        <f t="shared" si="0"/>
        <v>4</v>
      </c>
      <c r="P3" s="17">
        <f t="shared" si="0"/>
        <v>5</v>
      </c>
      <c r="Q3" s="17">
        <f t="shared" si="0"/>
        <v>6</v>
      </c>
      <c r="R3" s="17">
        <f t="shared" si="0"/>
        <v>7</v>
      </c>
      <c r="S3" s="17">
        <f t="shared" si="0"/>
        <v>8</v>
      </c>
      <c r="T3" s="17">
        <f t="shared" si="0"/>
        <v>9</v>
      </c>
      <c r="U3" s="17">
        <f t="shared" si="0"/>
        <v>10</v>
      </c>
      <c r="V3" s="17">
        <f t="shared" si="0"/>
        <v>11</v>
      </c>
      <c r="W3" s="17">
        <f t="shared" si="0"/>
        <v>12</v>
      </c>
      <c r="X3" s="17">
        <f t="shared" si="0"/>
        <v>13</v>
      </c>
      <c r="Y3" s="17">
        <f t="shared" si="0"/>
        <v>14</v>
      </c>
      <c r="Z3" s="17">
        <f t="shared" si="0"/>
        <v>15</v>
      </c>
      <c r="AA3" s="17">
        <f t="shared" si="0"/>
        <v>16</v>
      </c>
      <c r="AB3" s="17">
        <f t="shared" si="0"/>
        <v>17</v>
      </c>
      <c r="AC3" s="17">
        <f t="shared" si="0"/>
        <v>18</v>
      </c>
      <c r="AD3" s="17">
        <f t="shared" si="0"/>
        <v>19</v>
      </c>
      <c r="AE3" s="17">
        <f t="shared" si="0"/>
        <v>20</v>
      </c>
      <c r="AF3" s="17">
        <f t="shared" si="0"/>
        <v>21</v>
      </c>
      <c r="AG3" s="17">
        <f t="shared" si="0"/>
        <v>22</v>
      </c>
      <c r="AH3" s="17">
        <f t="shared" si="0"/>
        <v>23</v>
      </c>
      <c r="AI3" s="17">
        <f t="shared" si="0"/>
        <v>24</v>
      </c>
      <c r="AJ3" s="17">
        <f t="shared" si="0"/>
        <v>25</v>
      </c>
      <c r="AK3" s="17">
        <f t="shared" si="0"/>
        <v>26</v>
      </c>
      <c r="AL3" s="17">
        <f t="shared" si="0"/>
        <v>27</v>
      </c>
      <c r="AM3" s="17">
        <f t="shared" si="0"/>
        <v>28</v>
      </c>
      <c r="AN3" s="17">
        <f t="shared" si="0"/>
        <v>29</v>
      </c>
      <c r="AO3" s="17">
        <f t="shared" si="0"/>
        <v>30</v>
      </c>
      <c r="AP3" s="17">
        <f t="shared" si="0"/>
        <v>31</v>
      </c>
    </row>
    <row r="4" ht="28.05" customHeight="1" spans="1:42">
      <c r="A4" s="9"/>
      <c r="B4" s="10">
        <f t="shared" ref="B4:H9" si="1">INT(DATE($C$2,$F$2,0)/7)*7+COLUMN(A1)+7*(ROW(B1)-1)</f>
        <v>45410</v>
      </c>
      <c r="C4" s="10">
        <f t="shared" si="1"/>
        <v>45411</v>
      </c>
      <c r="D4" s="10">
        <f t="shared" si="1"/>
        <v>45412</v>
      </c>
      <c r="E4" s="10">
        <f t="shared" si="1"/>
        <v>45413</v>
      </c>
      <c r="F4" s="10">
        <f t="shared" si="1"/>
        <v>45414</v>
      </c>
      <c r="G4" s="10">
        <f t="shared" si="1"/>
        <v>45415</v>
      </c>
      <c r="H4" s="10">
        <f t="shared" si="1"/>
        <v>45416</v>
      </c>
      <c r="J4" s="29" t="s">
        <v>12</v>
      </c>
      <c r="K4" s="30" t="s">
        <v>13</v>
      </c>
      <c r="L4" s="30"/>
      <c r="M4" s="30"/>
      <c r="N4" s="30"/>
      <c r="O4" s="30"/>
      <c r="P4" s="30"/>
      <c r="Q4" s="30"/>
      <c r="R4" s="30"/>
      <c r="S4" s="30"/>
      <c r="T4" s="30"/>
      <c r="U4" s="30"/>
      <c r="V4" s="30"/>
      <c r="W4" s="30"/>
      <c r="X4" s="30"/>
      <c r="Y4" s="30"/>
      <c r="Z4" s="30"/>
      <c r="AA4" s="30"/>
      <c r="AB4" s="30"/>
      <c r="AC4" s="30"/>
      <c r="AD4" s="30"/>
      <c r="AE4" s="30"/>
      <c r="AF4" s="30"/>
      <c r="AG4" s="30"/>
      <c r="AH4" s="30"/>
      <c r="AI4" s="30"/>
      <c r="AJ4" s="30"/>
      <c r="AK4" s="30"/>
      <c r="AL4" s="30"/>
      <c r="AM4" s="30"/>
      <c r="AN4" s="30"/>
      <c r="AO4" s="30"/>
      <c r="AP4" s="30"/>
    </row>
    <row r="5" ht="28.05" customHeight="1" spans="2:42">
      <c r="B5" s="10">
        <f t="shared" si="1"/>
        <v>45417</v>
      </c>
      <c r="C5" s="10">
        <f t="shared" si="1"/>
        <v>45418</v>
      </c>
      <c r="D5" s="10">
        <f t="shared" si="1"/>
        <v>45419</v>
      </c>
      <c r="E5" s="10">
        <f t="shared" si="1"/>
        <v>45420</v>
      </c>
      <c r="F5" s="10">
        <f t="shared" si="1"/>
        <v>45421</v>
      </c>
      <c r="G5" s="10">
        <f t="shared" si="1"/>
        <v>45422</v>
      </c>
      <c r="H5" s="10">
        <f t="shared" si="1"/>
        <v>45423</v>
      </c>
      <c r="J5" s="31"/>
      <c r="K5" s="30" t="s">
        <v>14</v>
      </c>
      <c r="L5" s="30"/>
      <c r="M5" s="30"/>
      <c r="N5" s="30"/>
      <c r="O5" s="30"/>
      <c r="P5" s="30"/>
      <c r="Q5" s="30"/>
      <c r="R5" s="30"/>
      <c r="S5" s="30"/>
      <c r="T5" s="30"/>
      <c r="U5" s="30"/>
      <c r="V5" s="30"/>
      <c r="W5" s="30"/>
      <c r="X5" s="30"/>
      <c r="Y5" s="30"/>
      <c r="Z5" s="30"/>
      <c r="AA5" s="30"/>
      <c r="AB5" s="30"/>
      <c r="AC5" s="30"/>
      <c r="AD5" s="30"/>
      <c r="AE5" s="30"/>
      <c r="AF5" s="30"/>
      <c r="AG5" s="30"/>
      <c r="AH5" s="30"/>
      <c r="AI5" s="30"/>
      <c r="AJ5" s="30"/>
      <c r="AK5" s="30"/>
      <c r="AL5" s="30"/>
      <c r="AM5" s="30"/>
      <c r="AN5" s="30"/>
      <c r="AO5" s="30"/>
      <c r="AP5" s="30"/>
    </row>
    <row r="6" ht="28.05" customHeight="1" spans="2:42">
      <c r="B6" s="10">
        <f t="shared" si="1"/>
        <v>45424</v>
      </c>
      <c r="C6" s="10">
        <f t="shared" si="1"/>
        <v>45425</v>
      </c>
      <c r="D6" s="10">
        <f t="shared" si="1"/>
        <v>45426</v>
      </c>
      <c r="E6" s="10">
        <f t="shared" si="1"/>
        <v>45427</v>
      </c>
      <c r="F6" s="10">
        <f t="shared" si="1"/>
        <v>45428</v>
      </c>
      <c r="G6" s="10">
        <f t="shared" si="1"/>
        <v>45429</v>
      </c>
      <c r="H6" s="10">
        <f t="shared" si="1"/>
        <v>45430</v>
      </c>
      <c r="J6" s="31"/>
      <c r="K6" s="18"/>
      <c r="L6" s="18"/>
      <c r="M6" s="18"/>
      <c r="N6" s="18"/>
      <c r="O6" s="18"/>
      <c r="P6" s="18"/>
      <c r="Q6" s="18"/>
      <c r="R6" s="18"/>
      <c r="S6" s="18"/>
      <c r="T6" s="18"/>
      <c r="U6" s="18"/>
      <c r="V6" s="18"/>
      <c r="W6" s="18"/>
      <c r="X6" s="18"/>
      <c r="Y6" s="18"/>
      <c r="Z6" s="18"/>
      <c r="AA6" s="18"/>
      <c r="AB6" s="18"/>
      <c r="AC6" s="18"/>
      <c r="AD6" s="18"/>
      <c r="AE6" s="18"/>
      <c r="AF6" s="18"/>
      <c r="AG6" s="18"/>
      <c r="AH6" s="18"/>
      <c r="AI6" s="18"/>
      <c r="AJ6" s="18"/>
      <c r="AK6" s="18"/>
      <c r="AL6" s="18"/>
      <c r="AM6" s="18"/>
      <c r="AN6" s="18"/>
      <c r="AO6" s="18"/>
      <c r="AP6" s="18"/>
    </row>
    <row r="7" ht="28.05" customHeight="1" spans="2:42">
      <c r="B7" s="10">
        <f t="shared" si="1"/>
        <v>45431</v>
      </c>
      <c r="C7" s="10">
        <f t="shared" si="1"/>
        <v>45432</v>
      </c>
      <c r="D7" s="10">
        <f t="shared" si="1"/>
        <v>45433</v>
      </c>
      <c r="E7" s="10">
        <f t="shared" si="1"/>
        <v>45434</v>
      </c>
      <c r="F7" s="10">
        <f t="shared" si="1"/>
        <v>45435</v>
      </c>
      <c r="G7" s="10">
        <f t="shared" si="1"/>
        <v>45436</v>
      </c>
      <c r="H7" s="10">
        <f t="shared" si="1"/>
        <v>45437</v>
      </c>
      <c r="J7" s="32"/>
      <c r="K7" s="33"/>
      <c r="L7" s="34"/>
      <c r="M7" s="34"/>
      <c r="N7" s="34"/>
      <c r="O7" s="34"/>
      <c r="P7" s="34"/>
      <c r="Q7" s="34"/>
      <c r="R7" s="34"/>
      <c r="S7" s="34"/>
      <c r="T7" s="34"/>
      <c r="U7" s="34"/>
      <c r="V7" s="34"/>
      <c r="W7" s="34"/>
      <c r="X7" s="34"/>
      <c r="Y7" s="34"/>
      <c r="Z7" s="34"/>
      <c r="AA7" s="34"/>
      <c r="AB7" s="34"/>
      <c r="AC7" s="34"/>
      <c r="AD7" s="34"/>
      <c r="AE7" s="34"/>
      <c r="AF7" s="34"/>
      <c r="AG7" s="34"/>
      <c r="AH7" s="34"/>
      <c r="AI7" s="34"/>
      <c r="AJ7" s="34"/>
      <c r="AK7" s="34"/>
      <c r="AL7" s="34"/>
      <c r="AM7" s="34"/>
      <c r="AN7" s="34">
        <f t="shared" ref="AN7:AP7" si="2">COUNTIF(AN4:AN6,"√")</f>
        <v>0</v>
      </c>
      <c r="AO7" s="34">
        <f t="shared" si="2"/>
        <v>0</v>
      </c>
      <c r="AP7" s="34">
        <f t="shared" si="2"/>
        <v>0</v>
      </c>
    </row>
    <row r="8" ht="28.05" customHeight="1" spans="2:42">
      <c r="B8" s="10">
        <f t="shared" si="1"/>
        <v>45438</v>
      </c>
      <c r="C8" s="10">
        <f t="shared" si="1"/>
        <v>45439</v>
      </c>
      <c r="D8" s="10">
        <f t="shared" si="1"/>
        <v>45440</v>
      </c>
      <c r="E8" s="10">
        <f t="shared" si="1"/>
        <v>45441</v>
      </c>
      <c r="F8" s="10">
        <f t="shared" si="1"/>
        <v>45442</v>
      </c>
      <c r="G8" s="10">
        <f t="shared" si="1"/>
        <v>45443</v>
      </c>
      <c r="H8" s="10">
        <f t="shared" si="1"/>
        <v>45444</v>
      </c>
      <c r="J8" s="35" t="s">
        <v>15</v>
      </c>
      <c r="K8" s="18" t="s">
        <v>16</v>
      </c>
      <c r="L8" s="18"/>
      <c r="M8" s="18"/>
      <c r="N8" s="18"/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</row>
    <row r="9" ht="28.05" customHeight="1" spans="2:42">
      <c r="B9" s="10">
        <f t="shared" si="1"/>
        <v>45445</v>
      </c>
      <c r="C9" s="10">
        <f t="shared" si="1"/>
        <v>45446</v>
      </c>
      <c r="D9" s="10">
        <f t="shared" si="1"/>
        <v>45447</v>
      </c>
      <c r="E9" s="10">
        <f t="shared" si="1"/>
        <v>45448</v>
      </c>
      <c r="F9" s="10">
        <f t="shared" si="1"/>
        <v>45449</v>
      </c>
      <c r="G9" s="10">
        <f t="shared" si="1"/>
        <v>45450</v>
      </c>
      <c r="H9" s="10">
        <f t="shared" si="1"/>
        <v>45451</v>
      </c>
      <c r="J9" s="31"/>
      <c r="K9" s="18" t="s">
        <v>17</v>
      </c>
      <c r="L9" s="18"/>
      <c r="M9" s="18"/>
      <c r="N9" s="18"/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</row>
    <row r="10" ht="22.95" customHeight="1" spans="10:42">
      <c r="J10" s="31"/>
      <c r="K10" s="18"/>
      <c r="L10" s="18"/>
      <c r="M10" s="18"/>
      <c r="N10" s="18"/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</row>
    <row r="11" ht="22.95" customHeight="1" spans="10:42">
      <c r="J11" s="32"/>
      <c r="K11" s="36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>
        <f t="shared" ref="AN11:AP11" si="3">COUNTIF(AN8:AN10,"√")</f>
        <v>0</v>
      </c>
      <c r="AO11" s="18">
        <f t="shared" si="3"/>
        <v>0</v>
      </c>
      <c r="AP11" s="18">
        <f t="shared" si="3"/>
        <v>0</v>
      </c>
    </row>
    <row r="12" ht="22.95" customHeight="1" spans="10:42">
      <c r="J12" s="29" t="s">
        <v>18</v>
      </c>
      <c r="K12" s="22" t="s">
        <v>19</v>
      </c>
      <c r="L12" s="22"/>
      <c r="M12" s="22"/>
      <c r="N12" s="22"/>
      <c r="O12" s="22"/>
      <c r="P12" s="22"/>
      <c r="Q12" s="22"/>
      <c r="R12" s="22"/>
      <c r="S12" s="22"/>
      <c r="T12" s="22"/>
      <c r="U12" s="22"/>
      <c r="V12" s="22"/>
      <c r="W12" s="22"/>
      <c r="X12" s="22"/>
      <c r="Y12" s="22"/>
      <c r="Z12" s="22"/>
      <c r="AA12" s="22"/>
      <c r="AB12" s="22"/>
      <c r="AC12" s="22"/>
      <c r="AD12" s="22"/>
      <c r="AE12" s="22"/>
      <c r="AF12" s="22"/>
      <c r="AG12" s="22"/>
      <c r="AH12" s="22"/>
      <c r="AI12" s="22"/>
      <c r="AJ12" s="22"/>
      <c r="AK12" s="22"/>
      <c r="AL12" s="22"/>
      <c r="AM12" s="22"/>
      <c r="AN12" s="22"/>
      <c r="AO12" s="22"/>
      <c r="AP12" s="22"/>
    </row>
    <row r="13" ht="22.95" customHeight="1" spans="10:42">
      <c r="J13" s="31"/>
      <c r="K13" s="22" t="s">
        <v>20</v>
      </c>
      <c r="L13" s="22"/>
      <c r="M13" s="22"/>
      <c r="N13" s="22"/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2"/>
      <c r="AK13" s="22"/>
      <c r="AL13" s="22"/>
      <c r="AM13" s="22"/>
      <c r="AN13" s="22"/>
      <c r="AO13" s="22"/>
      <c r="AP13" s="22"/>
    </row>
    <row r="14" ht="22.95" customHeight="1" spans="10:42">
      <c r="J14" s="31"/>
      <c r="K14" s="22" t="s">
        <v>21</v>
      </c>
      <c r="L14" s="22"/>
      <c r="M14" s="22"/>
      <c r="N14" s="22"/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2"/>
      <c r="AK14" s="22"/>
      <c r="AL14" s="22"/>
      <c r="AM14" s="22"/>
      <c r="AN14" s="22"/>
      <c r="AO14" s="22"/>
      <c r="AP14" s="22"/>
    </row>
    <row r="15" ht="22.95" customHeight="1" spans="10:42">
      <c r="J15" s="32"/>
      <c r="K15" s="37"/>
      <c r="L15" s="22"/>
      <c r="M15" s="22"/>
      <c r="N15" s="22"/>
      <c r="O15" s="22"/>
      <c r="P15" s="22"/>
      <c r="Q15" s="22"/>
      <c r="R15" s="22"/>
      <c r="S15" s="22"/>
      <c r="T15" s="22"/>
      <c r="U15" s="22"/>
      <c r="V15" s="22"/>
      <c r="W15" s="22"/>
      <c r="X15" s="22"/>
      <c r="Y15" s="22"/>
      <c r="Z15" s="22"/>
      <c r="AA15" s="22"/>
      <c r="AB15" s="22"/>
      <c r="AC15" s="22"/>
      <c r="AD15" s="22"/>
      <c r="AE15" s="22"/>
      <c r="AF15" s="22"/>
      <c r="AG15" s="22"/>
      <c r="AH15" s="22"/>
      <c r="AI15" s="22"/>
      <c r="AJ15" s="22"/>
      <c r="AK15" s="22"/>
      <c r="AL15" s="22"/>
      <c r="AM15" s="22"/>
      <c r="AN15" s="22">
        <f t="shared" ref="AN15:AP15" si="4">COUNTIF(AN12:AN14,"√")</f>
        <v>0</v>
      </c>
      <c r="AO15" s="22">
        <f t="shared" si="4"/>
        <v>0</v>
      </c>
      <c r="AP15" s="22">
        <f t="shared" si="4"/>
        <v>0</v>
      </c>
    </row>
    <row r="16" ht="22.95" customHeight="1" spans="10:42">
      <c r="J16"/>
      <c r="K16"/>
      <c r="L16" s="38"/>
      <c r="M16" s="38"/>
      <c r="N16" s="38"/>
      <c r="O16" s="38"/>
      <c r="P16" s="38"/>
      <c r="Q16" s="38"/>
      <c r="R16" s="38"/>
      <c r="S16" s="38"/>
      <c r="T16" s="38"/>
      <c r="U16" s="38"/>
      <c r="V16" s="38"/>
      <c r="W16" s="38"/>
      <c r="X16" s="38"/>
      <c r="Y16" s="38"/>
      <c r="Z16" s="38"/>
      <c r="AA16" s="38"/>
      <c r="AB16" s="38"/>
      <c r="AC16" s="38"/>
      <c r="AD16" s="38"/>
      <c r="AE16" s="38"/>
      <c r="AF16" s="38"/>
      <c r="AG16" s="38"/>
      <c r="AH16" s="38"/>
      <c r="AI16" s="38"/>
      <c r="AJ16" s="38"/>
      <c r="AK16" s="38"/>
      <c r="AL16" s="38"/>
      <c r="AM16" s="38"/>
      <c r="AN16" s="38"/>
      <c r="AO16" s="38"/>
      <c r="AP16" s="38"/>
    </row>
    <row r="17" ht="22.95" customHeight="1" spans="10:42">
      <c r="J17"/>
      <c r="K17" s="39"/>
      <c r="L17" s="38"/>
      <c r="M17" s="38"/>
      <c r="N17" s="38"/>
      <c r="O17" s="38"/>
      <c r="P17" s="38"/>
      <c r="Q17" s="38"/>
      <c r="R17" s="38"/>
      <c r="S17" s="38"/>
      <c r="T17" s="38"/>
      <c r="U17" s="38"/>
      <c r="V17" s="38"/>
      <c r="W17" s="38"/>
      <c r="X17" s="38"/>
      <c r="Y17" s="38"/>
      <c r="Z17" s="38"/>
      <c r="AA17" s="38"/>
      <c r="AB17" s="38"/>
      <c r="AC17" s="38"/>
      <c r="AD17" s="38"/>
      <c r="AE17" s="38"/>
      <c r="AF17" s="38"/>
      <c r="AG17" s="38"/>
      <c r="AH17" s="38"/>
      <c r="AI17" s="38"/>
      <c r="AJ17" s="38"/>
      <c r="AK17" s="38"/>
      <c r="AL17" s="38"/>
      <c r="AM17" s="38">
        <v>0</v>
      </c>
      <c r="AN17" s="38"/>
      <c r="AO17" s="38"/>
      <c r="AP17" s="38"/>
    </row>
    <row r="18" ht="22.95" customHeight="1" spans="10:42">
      <c r="J18"/>
      <c r="K18"/>
      <c r="L18" s="38"/>
      <c r="M18" s="38"/>
      <c r="N18" s="38"/>
      <c r="O18" s="38"/>
      <c r="P18" s="38"/>
      <c r="Q18" s="38"/>
      <c r="R18" s="38"/>
      <c r="S18" s="38"/>
      <c r="T18" s="38"/>
      <c r="U18" s="38"/>
      <c r="V18" s="38"/>
      <c r="W18" s="38"/>
      <c r="X18" s="38"/>
      <c r="Y18" s="38"/>
      <c r="Z18" s="38"/>
      <c r="AA18" s="38"/>
      <c r="AB18" s="38"/>
      <c r="AC18" s="38"/>
      <c r="AD18" s="38"/>
      <c r="AE18" s="38"/>
      <c r="AF18" s="38"/>
      <c r="AG18" s="38"/>
      <c r="AH18" s="38"/>
      <c r="AI18" s="38"/>
      <c r="AJ18" s="38"/>
      <c r="AK18" s="38"/>
      <c r="AL18" s="38"/>
      <c r="AM18" s="38"/>
      <c r="AN18" s="38"/>
      <c r="AO18" s="38"/>
      <c r="AP18" s="38"/>
    </row>
    <row r="19" ht="22.95" hidden="1" customHeight="1" spans="10:42">
      <c r="J19"/>
      <c r="K19"/>
      <c r="L19" s="38"/>
      <c r="M19" s="38"/>
      <c r="N19" s="38"/>
      <c r="O19" s="38"/>
      <c r="P19" s="38"/>
      <c r="Q19" s="38"/>
      <c r="R19" s="38"/>
      <c r="S19" s="38"/>
      <c r="T19" s="38"/>
      <c r="U19" s="38"/>
      <c r="V19" s="38"/>
      <c r="W19" s="38"/>
      <c r="X19" s="38"/>
      <c r="Y19" s="38"/>
      <c r="Z19" s="38"/>
      <c r="AA19" s="38"/>
      <c r="AB19" s="38"/>
      <c r="AC19" s="38"/>
      <c r="AD19" s="38"/>
      <c r="AE19" s="38"/>
      <c r="AF19" s="38"/>
      <c r="AG19" s="38"/>
      <c r="AH19" s="38"/>
      <c r="AI19" s="38"/>
      <c r="AJ19" s="38"/>
      <c r="AK19" s="38"/>
      <c r="AL19" s="38"/>
      <c r="AM19" s="38"/>
      <c r="AN19" s="38"/>
      <c r="AO19" s="38"/>
      <c r="AP19" s="38"/>
    </row>
    <row r="20" ht="22.95" hidden="1" customHeight="1" spans="10:42">
      <c r="J20"/>
      <c r="K20"/>
      <c r="L20" s="38"/>
      <c r="M20" s="38"/>
      <c r="N20" s="38"/>
      <c r="O20" s="38"/>
      <c r="P20" s="38"/>
      <c r="Q20" s="38"/>
      <c r="R20" s="38"/>
      <c r="S20" s="38"/>
      <c r="T20" s="38"/>
      <c r="U20" s="38"/>
      <c r="V20" s="38"/>
      <c r="W20" s="38"/>
      <c r="X20" s="38"/>
      <c r="Y20" s="38"/>
      <c r="Z20" s="38"/>
      <c r="AA20" s="38"/>
      <c r="AB20" s="38"/>
      <c r="AC20" s="38"/>
      <c r="AD20" s="38"/>
      <c r="AE20" s="38"/>
      <c r="AF20" s="38"/>
      <c r="AG20" s="38"/>
      <c r="AH20" s="38"/>
      <c r="AI20" s="38"/>
      <c r="AJ20" s="38"/>
      <c r="AK20" s="38"/>
      <c r="AL20" s="38"/>
      <c r="AM20" s="38"/>
      <c r="AN20" s="38"/>
      <c r="AO20" s="38"/>
      <c r="AP20" s="38"/>
    </row>
    <row r="21" ht="22.95" hidden="1" customHeight="1" spans="10:42">
      <c r="J21"/>
      <c r="K21"/>
      <c r="L21" s="38"/>
      <c r="M21" s="38"/>
      <c r="N21" s="38"/>
      <c r="O21" s="38"/>
      <c r="P21" s="38"/>
      <c r="Q21" s="38"/>
      <c r="R21" s="38"/>
      <c r="S21" s="38"/>
      <c r="T21" s="38"/>
      <c r="U21" s="38"/>
      <c r="V21" s="38"/>
      <c r="W21" s="38"/>
      <c r="X21" s="38"/>
      <c r="Y21" s="38"/>
      <c r="Z21" s="38"/>
      <c r="AA21" s="38"/>
      <c r="AB21" s="38"/>
      <c r="AC21" s="38"/>
      <c r="AD21" s="38"/>
      <c r="AE21" s="38"/>
      <c r="AF21" s="38"/>
      <c r="AG21" s="38"/>
      <c r="AH21" s="38"/>
      <c r="AI21" s="38"/>
      <c r="AJ21" s="38"/>
      <c r="AK21" s="38"/>
      <c r="AL21" s="38"/>
      <c r="AM21" s="38"/>
      <c r="AN21" s="38"/>
      <c r="AO21" s="38"/>
      <c r="AP21" s="38"/>
    </row>
    <row r="22" ht="22.95" hidden="1" customHeight="1" spans="10:42">
      <c r="J22"/>
      <c r="K22"/>
      <c r="L22" s="38"/>
      <c r="M22" s="38"/>
      <c r="N22" s="38"/>
      <c r="O22" s="38"/>
      <c r="P22" s="38"/>
      <c r="Q22" s="38"/>
      <c r="R22" s="38"/>
      <c r="S22" s="38"/>
      <c r="T22" s="38"/>
      <c r="U22" s="38"/>
      <c r="V22" s="38"/>
      <c r="W22" s="38"/>
      <c r="X22" s="38"/>
      <c r="Y22" s="38"/>
      <c r="Z22" s="38"/>
      <c r="AA22" s="38"/>
      <c r="AB22" s="38"/>
      <c r="AC22" s="38"/>
      <c r="AD22" s="38"/>
      <c r="AE22" s="38"/>
      <c r="AF22" s="38"/>
      <c r="AG22" s="38"/>
      <c r="AH22" s="38"/>
      <c r="AI22" s="38"/>
      <c r="AJ22" s="38"/>
      <c r="AK22" s="38"/>
      <c r="AL22" s="38"/>
      <c r="AM22" s="38"/>
      <c r="AN22" s="38"/>
      <c r="AO22" s="38"/>
      <c r="AP22" s="38"/>
    </row>
    <row r="23" ht="22.95" hidden="1" customHeight="1" spans="10:42">
      <c r="J23"/>
      <c r="K23"/>
      <c r="L23" s="38"/>
      <c r="M23" s="38"/>
      <c r="N23" s="38"/>
      <c r="O23" s="38"/>
      <c r="P23" s="38"/>
      <c r="Q23" s="38"/>
      <c r="R23" s="38"/>
      <c r="S23" s="38"/>
      <c r="T23" s="38"/>
      <c r="U23" s="38"/>
      <c r="V23" s="38"/>
      <c r="W23" s="38"/>
      <c r="X23" s="38"/>
      <c r="Y23" s="38"/>
      <c r="Z23" s="38"/>
      <c r="AA23" s="38"/>
      <c r="AB23" s="38"/>
      <c r="AC23" s="38"/>
      <c r="AD23" s="38"/>
      <c r="AE23" s="38"/>
      <c r="AF23" s="38"/>
      <c r="AG23" s="38"/>
      <c r="AH23" s="38"/>
      <c r="AI23" s="38"/>
      <c r="AJ23" s="38"/>
      <c r="AK23" s="38"/>
      <c r="AL23" s="38"/>
      <c r="AM23" s="38"/>
      <c r="AN23" s="38"/>
      <c r="AO23" s="38"/>
      <c r="AP23" s="38"/>
    </row>
    <row r="24" ht="22.95" hidden="1" customHeight="1" spans="10:42">
      <c r="J24"/>
      <c r="K24"/>
      <c r="L24" s="38"/>
      <c r="M24" s="38"/>
      <c r="N24" s="38"/>
      <c r="O24" s="38"/>
      <c r="P24" s="38"/>
      <c r="Q24" s="38"/>
      <c r="R24" s="38"/>
      <c r="S24" s="38"/>
      <c r="T24" s="38"/>
      <c r="U24" s="38"/>
      <c r="V24" s="38"/>
      <c r="W24" s="38"/>
      <c r="X24" s="38"/>
      <c r="Y24" s="38"/>
      <c r="Z24" s="38"/>
      <c r="AA24" s="38"/>
      <c r="AB24" s="38"/>
      <c r="AC24" s="38"/>
      <c r="AD24" s="38"/>
      <c r="AE24" s="38"/>
      <c r="AF24" s="38"/>
      <c r="AG24" s="38"/>
      <c r="AH24" s="38"/>
      <c r="AI24" s="38"/>
      <c r="AJ24" s="38"/>
      <c r="AK24" s="38"/>
      <c r="AL24" s="38"/>
      <c r="AM24" s="38"/>
      <c r="AN24" s="38"/>
      <c r="AO24" s="38"/>
      <c r="AP24" s="38"/>
    </row>
    <row r="25" ht="22.95" hidden="1" customHeight="1" spans="10:42">
      <c r="J25"/>
      <c r="K25"/>
      <c r="L25" s="38"/>
      <c r="M25" s="38"/>
      <c r="N25" s="38"/>
      <c r="O25" s="38"/>
      <c r="P25" s="38"/>
      <c r="Q25" s="38"/>
      <c r="R25" s="38"/>
      <c r="S25" s="38"/>
      <c r="T25" s="38"/>
      <c r="U25" s="38"/>
      <c r="V25" s="38"/>
      <c r="W25" s="38"/>
      <c r="X25" s="38"/>
      <c r="Y25" s="38"/>
      <c r="Z25" s="38"/>
      <c r="AA25" s="38"/>
      <c r="AB25" s="38"/>
      <c r="AC25" s="38"/>
      <c r="AD25" s="38"/>
      <c r="AE25" s="38"/>
      <c r="AF25" s="38"/>
      <c r="AG25" s="38"/>
      <c r="AH25" s="38"/>
      <c r="AI25" s="38"/>
      <c r="AJ25" s="38"/>
      <c r="AK25" s="38"/>
      <c r="AL25" s="38"/>
      <c r="AM25" s="38"/>
      <c r="AN25" s="38"/>
      <c r="AO25" s="38"/>
      <c r="AP25" s="38"/>
    </row>
    <row r="26" ht="22.95" hidden="1" customHeight="1"/>
    <row r="27" ht="22.95" hidden="1" customHeight="1"/>
    <row r="28" ht="22.95" hidden="1" customHeight="1"/>
    <row r="29" ht="22.95" hidden="1" customHeight="1"/>
    <row r="30" ht="22.95" hidden="1" customHeight="1"/>
    <row r="31" ht="22.95" hidden="1" customHeight="1"/>
    <row r="32" ht="22.95" hidden="1" customHeight="1"/>
    <row r="33" ht="22.95" hidden="1" customHeight="1"/>
  </sheetData>
  <mergeCells count="6">
    <mergeCell ref="C2:D2"/>
    <mergeCell ref="K17:AC17"/>
    <mergeCell ref="J4:J7"/>
    <mergeCell ref="J8:J11"/>
    <mergeCell ref="J12:J15"/>
    <mergeCell ref="J1:AP2"/>
  </mergeCells>
  <conditionalFormatting sqref="L3:AP3">
    <cfRule type="cellIs" dxfId="0" priority="1" operator="equal">
      <formula>DAY(TODAY())</formula>
    </cfRule>
  </conditionalFormatting>
  <conditionalFormatting sqref="AN3:AP3">
    <cfRule type="expression" dxfId="1" priority="12">
      <formula>MONTH(AN3)&gt;MONTH(AK3)</formula>
    </cfRule>
  </conditionalFormatting>
  <conditionalFormatting sqref="L7:AP7">
    <cfRule type="expression" dxfId="2" priority="4">
      <formula>COUNTIF(L4:L6,"√")&gt;0</formula>
    </cfRule>
  </conditionalFormatting>
  <conditionalFormatting sqref="L11:AP11">
    <cfRule type="expression" dxfId="3" priority="3">
      <formula>COUNTIF(L8:L10,"√")&gt;0</formula>
    </cfRule>
  </conditionalFormatting>
  <conditionalFormatting sqref="L15:AP15">
    <cfRule type="expression" dxfId="4" priority="2">
      <formula>COUNTIF(L12:L14,"√")&gt;0</formula>
    </cfRule>
  </conditionalFormatting>
  <conditionalFormatting sqref="B4:H9">
    <cfRule type="cellIs" dxfId="5" priority="13" operator="equal">
      <formula>TODAY()</formula>
    </cfRule>
    <cfRule type="expression" dxfId="6" priority="14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M20"/>
  <sheetViews>
    <sheetView showGridLines="0" showZeros="0" tabSelected="1" zoomScale="85" zoomScaleNormal="85" workbookViewId="0">
      <selection activeCell="I12" sqref="I12:J12"/>
    </sheetView>
  </sheetViews>
  <sheetFormatPr defaultColWidth="9" defaultRowHeight="16.5"/>
  <cols>
    <col min="1" max="1" width="3.66363636363636" customWidth="1"/>
    <col min="2" max="8" width="5.10909090909091" style="1" customWidth="1"/>
    <col min="9" max="10" width="3.89090909090909" style="1" customWidth="1"/>
    <col min="11" max="11" width="46.4454545454545" style="2" customWidth="1"/>
    <col min="12" max="12" width="44.8909090909091" style="2" customWidth="1"/>
    <col min="13" max="13" width="11.7818181818182" style="1" customWidth="1"/>
  </cols>
  <sheetData>
    <row r="1" spans="1:13">
      <c r="A1" s="3"/>
      <c r="K1" s="15" t="s">
        <v>22</v>
      </c>
      <c r="L1" s="15"/>
      <c r="M1" s="15"/>
    </row>
    <row r="2" ht="24" spans="2:13">
      <c r="B2" s="4"/>
      <c r="C2" s="5">
        <v>2024</v>
      </c>
      <c r="D2" s="5"/>
      <c r="E2" s="6" t="s">
        <v>1</v>
      </c>
      <c r="F2" s="7">
        <v>6</v>
      </c>
      <c r="G2" s="6" t="s">
        <v>2</v>
      </c>
      <c r="H2" s="6"/>
      <c r="K2" s="15"/>
      <c r="L2" s="15"/>
      <c r="M2" s="15"/>
    </row>
    <row r="3" ht="22.95" customHeight="1" spans="2:13">
      <c r="B3" s="8" t="s">
        <v>3</v>
      </c>
      <c r="C3" s="8" t="s">
        <v>4</v>
      </c>
      <c r="D3" s="8" t="s">
        <v>5</v>
      </c>
      <c r="E3" s="8" t="s">
        <v>6</v>
      </c>
      <c r="F3" s="8" t="s">
        <v>7</v>
      </c>
      <c r="G3" s="8" t="s">
        <v>8</v>
      </c>
      <c r="H3" s="8" t="s">
        <v>9</v>
      </c>
      <c r="K3" s="16" t="s">
        <v>12</v>
      </c>
      <c r="L3" s="16" t="s">
        <v>23</v>
      </c>
      <c r="M3" s="17" t="s">
        <v>24</v>
      </c>
    </row>
    <row r="4" ht="25.95" customHeight="1" spans="1:13">
      <c r="A4" s="9"/>
      <c r="B4" s="10">
        <f t="shared" ref="B4:H5" si="0">INT(DATE($C$2,$F$2,0)/7)*7+COLUMN(A1)+7*(ROW(B1)-1)</f>
        <v>45438</v>
      </c>
      <c r="C4" s="10">
        <f t="shared" si="0"/>
        <v>45439</v>
      </c>
      <c r="D4" s="10">
        <f t="shared" si="0"/>
        <v>45440</v>
      </c>
      <c r="E4" s="10">
        <f t="shared" si="0"/>
        <v>45441</v>
      </c>
      <c r="F4" s="10">
        <f t="shared" si="0"/>
        <v>45442</v>
      </c>
      <c r="G4" s="10">
        <f t="shared" si="0"/>
        <v>45443</v>
      </c>
      <c r="H4" s="10">
        <f t="shared" si="0"/>
        <v>45444</v>
      </c>
      <c r="K4" s="18"/>
      <c r="L4" s="18"/>
      <c r="M4" s="18"/>
    </row>
    <row r="5" ht="25.95" customHeight="1" spans="2:13">
      <c r="B5" s="10">
        <f t="shared" si="0"/>
        <v>45445</v>
      </c>
      <c r="C5" s="10">
        <f t="shared" si="0"/>
        <v>45446</v>
      </c>
      <c r="D5" s="10">
        <f t="shared" si="0"/>
        <v>45447</v>
      </c>
      <c r="E5" s="10">
        <f t="shared" si="0"/>
        <v>45448</v>
      </c>
      <c r="F5" s="10">
        <f t="shared" si="0"/>
        <v>45449</v>
      </c>
      <c r="G5" s="10">
        <f t="shared" si="0"/>
        <v>45450</v>
      </c>
      <c r="H5" s="10">
        <f t="shared" si="0"/>
        <v>45451</v>
      </c>
      <c r="K5" s="18"/>
      <c r="L5" s="18"/>
      <c r="M5" s="18"/>
    </row>
    <row r="6" ht="25.95" customHeight="1" spans="2:13">
      <c r="B6" s="10">
        <f>INT(DATE($C$2,$F$2,0)/7)*7+COLUMN(A3)+7*(ROW(B3)-1)</f>
        <v>45452</v>
      </c>
      <c r="C6" s="10">
        <f t="shared" ref="C6:H6" si="1">INT(DATE($C$2,$F$2,0)/7)*7+COLUMN(B3)+7*(ROW(C3)-1)</f>
        <v>45453</v>
      </c>
      <c r="D6" s="10">
        <f t="shared" si="1"/>
        <v>45454</v>
      </c>
      <c r="E6" s="10">
        <f t="shared" si="1"/>
        <v>45455</v>
      </c>
      <c r="F6" s="10">
        <f t="shared" si="1"/>
        <v>45456</v>
      </c>
      <c r="G6" s="10">
        <f t="shared" si="1"/>
        <v>45457</v>
      </c>
      <c r="H6" s="10">
        <f t="shared" si="1"/>
        <v>45458</v>
      </c>
      <c r="K6" s="18"/>
      <c r="L6" s="18"/>
      <c r="M6" s="18"/>
    </row>
    <row r="7" ht="25.95" customHeight="1" spans="2:13">
      <c r="B7" s="10">
        <f>INT(DATE($C$2,$F$2,0)/7)*7+COLUMN(A4)+7*(ROW(B4)-1)</f>
        <v>45459</v>
      </c>
      <c r="C7" s="10">
        <f t="shared" ref="C7:H8" si="2">INT(DATE($C$2,$F$2,0)/7)*7+COLUMN(B4)+7*(ROW(C4)-1)</f>
        <v>45460</v>
      </c>
      <c r="D7" s="10">
        <f t="shared" si="2"/>
        <v>45461</v>
      </c>
      <c r="E7" s="10">
        <f t="shared" si="2"/>
        <v>45462</v>
      </c>
      <c r="F7" s="10">
        <f t="shared" si="2"/>
        <v>45463</v>
      </c>
      <c r="G7" s="10">
        <f t="shared" si="2"/>
        <v>45464</v>
      </c>
      <c r="H7" s="10">
        <f t="shared" si="2"/>
        <v>45465</v>
      </c>
      <c r="K7" s="18"/>
      <c r="L7" s="18"/>
      <c r="M7" s="18"/>
    </row>
    <row r="8" ht="25.95" customHeight="1" spans="2:13">
      <c r="B8" s="10">
        <f>INT(DATE($C$2,$F$2,0)/7)*7+COLUMN(A5)+7*(ROW(B5)-1)</f>
        <v>45466</v>
      </c>
      <c r="C8" s="10">
        <f t="shared" si="2"/>
        <v>45467</v>
      </c>
      <c r="D8" s="10">
        <f t="shared" si="2"/>
        <v>45468</v>
      </c>
      <c r="E8" s="10">
        <f t="shared" si="2"/>
        <v>45469</v>
      </c>
      <c r="F8" s="10">
        <f t="shared" si="2"/>
        <v>45470</v>
      </c>
      <c r="G8" s="10">
        <f t="shared" si="2"/>
        <v>45471</v>
      </c>
      <c r="H8" s="10">
        <f t="shared" si="2"/>
        <v>45472</v>
      </c>
      <c r="K8" s="19"/>
      <c r="L8" s="18"/>
      <c r="M8" s="18"/>
    </row>
    <row r="9" ht="37.05" customHeight="1" spans="2:13">
      <c r="B9" s="11" t="s">
        <v>25</v>
      </c>
      <c r="K9" s="20" t="s">
        <v>26</v>
      </c>
      <c r="L9" s="21"/>
      <c r="M9" s="22"/>
    </row>
    <row r="10" ht="25.95" customHeight="1" spans="1:13">
      <c r="A10" s="12"/>
      <c r="B10" s="13" t="s">
        <v>27</v>
      </c>
      <c r="C10" s="13"/>
      <c r="D10" s="13"/>
      <c r="E10" s="13"/>
      <c r="F10" s="13"/>
      <c r="G10" s="13"/>
      <c r="H10" s="13"/>
      <c r="I10" s="23" t="s">
        <v>28</v>
      </c>
      <c r="J10" s="23"/>
      <c r="K10" s="24" t="s">
        <v>29</v>
      </c>
      <c r="L10" s="25"/>
      <c r="M10" s="26" t="s">
        <v>30</v>
      </c>
    </row>
    <row r="11" ht="25.95" customHeight="1" spans="1:13">
      <c r="A11" s="12"/>
      <c r="B11" s="14" t="s">
        <v>31</v>
      </c>
      <c r="C11" s="14"/>
      <c r="D11" s="14"/>
      <c r="E11" s="14"/>
      <c r="F11" s="14"/>
      <c r="G11" s="14"/>
      <c r="H11" s="14"/>
      <c r="I11" s="27">
        <v>6.1</v>
      </c>
      <c r="J11" s="27"/>
      <c r="K11" s="28"/>
      <c r="L11" s="22"/>
      <c r="M11" s="18"/>
    </row>
    <row r="12" ht="25.95" customHeight="1" spans="1:13">
      <c r="A12" s="12"/>
      <c r="B12" s="14"/>
      <c r="C12" s="14"/>
      <c r="D12" s="14"/>
      <c r="E12" s="14"/>
      <c r="F12" s="14"/>
      <c r="G12" s="14"/>
      <c r="H12" s="14"/>
      <c r="I12" s="27"/>
      <c r="J12" s="27"/>
      <c r="K12" s="28"/>
      <c r="L12" s="22"/>
      <c r="M12" s="18"/>
    </row>
    <row r="13" ht="25.95" customHeight="1" spans="1:13">
      <c r="A13" s="12"/>
      <c r="B13" s="14"/>
      <c r="C13" s="14"/>
      <c r="D13" s="14"/>
      <c r="E13" s="14"/>
      <c r="F13" s="14"/>
      <c r="G13" s="14"/>
      <c r="H13" s="14"/>
      <c r="I13" s="27"/>
      <c r="J13" s="27"/>
      <c r="K13" s="28"/>
      <c r="L13" s="22"/>
      <c r="M13" s="18"/>
    </row>
    <row r="14" ht="25.95" customHeight="1" spans="1:13">
      <c r="A14" s="12"/>
      <c r="B14" s="14"/>
      <c r="C14" s="14"/>
      <c r="D14" s="14"/>
      <c r="E14" s="14"/>
      <c r="F14" s="14"/>
      <c r="G14" s="14"/>
      <c r="H14" s="14"/>
      <c r="I14" s="27"/>
      <c r="J14" s="27"/>
      <c r="K14" s="28"/>
      <c r="L14" s="22"/>
      <c r="M14" s="18"/>
    </row>
    <row r="15" ht="25.95" customHeight="1" spans="1:13">
      <c r="A15" s="12"/>
      <c r="B15" s="14"/>
      <c r="C15" s="14"/>
      <c r="D15" s="14"/>
      <c r="E15" s="14"/>
      <c r="F15" s="14"/>
      <c r="G15" s="14"/>
      <c r="H15" s="14"/>
      <c r="I15" s="27"/>
      <c r="J15" s="27"/>
      <c r="K15" s="28"/>
      <c r="L15" s="22"/>
      <c r="M15" s="18"/>
    </row>
    <row r="16" ht="25.95" customHeight="1" spans="1:13">
      <c r="A16" s="12"/>
      <c r="B16" s="14"/>
      <c r="C16" s="14"/>
      <c r="D16" s="14"/>
      <c r="E16" s="14"/>
      <c r="F16" s="14"/>
      <c r="G16" s="14"/>
      <c r="H16" s="14"/>
      <c r="I16" s="27"/>
      <c r="J16" s="27"/>
      <c r="K16" s="28"/>
      <c r="L16" s="22"/>
      <c r="M16" s="18"/>
    </row>
    <row r="17" ht="25.95" customHeight="1" spans="1:13">
      <c r="A17" s="12"/>
      <c r="B17" s="14"/>
      <c r="C17" s="14"/>
      <c r="D17" s="14"/>
      <c r="E17" s="14"/>
      <c r="F17" s="14"/>
      <c r="G17" s="14"/>
      <c r="H17" s="14"/>
      <c r="I17" s="27"/>
      <c r="J17" s="27"/>
      <c r="K17" s="28"/>
      <c r="L17" s="22"/>
      <c r="M17" s="18"/>
    </row>
    <row r="18" ht="25.95" customHeight="1" spans="1:13">
      <c r="A18" s="12"/>
      <c r="B18" s="14"/>
      <c r="C18" s="14"/>
      <c r="D18" s="14"/>
      <c r="E18" s="14"/>
      <c r="F18" s="14"/>
      <c r="G18" s="14"/>
      <c r="H18" s="14"/>
      <c r="I18" s="27"/>
      <c r="J18" s="27"/>
      <c r="K18" s="28"/>
      <c r="L18" s="22"/>
      <c r="M18" s="18"/>
    </row>
    <row r="19" ht="25.95" customHeight="1" spans="1:13">
      <c r="A19" s="12"/>
      <c r="B19" s="14"/>
      <c r="C19" s="14"/>
      <c r="D19" s="14"/>
      <c r="E19" s="14"/>
      <c r="F19" s="14"/>
      <c r="G19" s="14"/>
      <c r="H19" s="14"/>
      <c r="I19" s="27"/>
      <c r="J19" s="27"/>
      <c r="K19" s="28"/>
      <c r="L19" s="22"/>
      <c r="M19" s="18"/>
    </row>
    <row r="20" ht="25.95" customHeight="1" spans="1:13">
      <c r="A20" s="12"/>
      <c r="B20" s="14"/>
      <c r="C20" s="14"/>
      <c r="D20" s="14"/>
      <c r="E20" s="14"/>
      <c r="F20" s="14"/>
      <c r="G20" s="14"/>
      <c r="H20" s="14"/>
      <c r="I20" s="27"/>
      <c r="J20" s="27"/>
      <c r="K20" s="28"/>
      <c r="L20" s="22"/>
      <c r="M20" s="18"/>
    </row>
  </sheetData>
  <sortState ref="K4:K8">
    <sortCondition ref="K4:K8" descending="1"/>
  </sortState>
  <mergeCells count="37">
    <mergeCell ref="C2:D2"/>
    <mergeCell ref="B9:H9"/>
    <mergeCell ref="K9:M9"/>
    <mergeCell ref="B10:H10"/>
    <mergeCell ref="I10:J10"/>
    <mergeCell ref="K10:L10"/>
    <mergeCell ref="B11:H11"/>
    <mergeCell ref="I11:J11"/>
    <mergeCell ref="K11:L11"/>
    <mergeCell ref="B12:H12"/>
    <mergeCell ref="I12:J12"/>
    <mergeCell ref="K12:L12"/>
    <mergeCell ref="B13:H13"/>
    <mergeCell ref="I13:J13"/>
    <mergeCell ref="K13:L13"/>
    <mergeCell ref="B14:H14"/>
    <mergeCell ref="I14:J14"/>
    <mergeCell ref="K14:L14"/>
    <mergeCell ref="B15:H15"/>
    <mergeCell ref="I15:J15"/>
    <mergeCell ref="K15:L15"/>
    <mergeCell ref="B16:H16"/>
    <mergeCell ref="I16:J16"/>
    <mergeCell ref="K16:L16"/>
    <mergeCell ref="B17:H17"/>
    <mergeCell ref="I17:J17"/>
    <mergeCell ref="K17:L17"/>
    <mergeCell ref="B18:H18"/>
    <mergeCell ref="I18:J18"/>
    <mergeCell ref="K18:L18"/>
    <mergeCell ref="B19:H19"/>
    <mergeCell ref="I19:J19"/>
    <mergeCell ref="K19:L19"/>
    <mergeCell ref="B20:H20"/>
    <mergeCell ref="I20:J20"/>
    <mergeCell ref="K20:L20"/>
    <mergeCell ref="K1:M2"/>
  </mergeCells>
  <conditionalFormatting sqref="M3">
    <cfRule type="cellIs" dxfId="0" priority="1" operator="equal">
      <formula>DAY(TODAY())</formula>
    </cfRule>
  </conditionalFormatting>
  <conditionalFormatting sqref="B4:I8">
    <cfRule type="cellIs" dxfId="5" priority="22" operator="equal">
      <formula>TODAY()</formula>
    </cfRule>
    <cfRule type="expression" dxfId="6" priority="33">
      <formula>MONTH(B4)&lt;&gt;$F$2</formula>
    </cfRule>
  </conditionalFormatting>
  <pageMargins left="0.75" right="0.75" top="1" bottom="1" header="0.5" footer="0.5"/>
  <pageSetup paperSize="9" orientation="portrait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月度</vt:lpstr>
      <vt:lpstr>当日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Baby Q</cp:lastModifiedBy>
  <dcterms:created xsi:type="dcterms:W3CDTF">2021-06-30T08:13:00Z</dcterms:created>
  <dcterms:modified xsi:type="dcterms:W3CDTF">2024-06-04T07:27:10Z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2052-12.1.0.16929</vt:lpwstr>
  </property>
  <property fmtid="{D5CDD505-2E9C-101B-9397-08002B2CF9AE}" pid="3" name="KSOTemplateUUID">
    <vt:lpwstr>v1.0_mb_MOdv9l29kGVouidhySJFNQ==</vt:lpwstr>
  </property>
  <property fmtid="{D5CDD505-2E9C-101B-9397-08002B2CF9AE}" pid="4" name="ICV">
    <vt:lpwstr>18879A089BA041D789A75BAD8B928C76_13</vt:lpwstr>
  </property>
</Properties>
</file>