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我的项目\regularWorks\"/>
    </mc:Choice>
  </mc:AlternateContent>
  <xr:revisionPtr revIDLastSave="0" documentId="13_ncr:1_{EC9C4E9A-8983-42DD-BAE4-278244E8B96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G8" i="1"/>
  <c r="F8" i="1"/>
  <c r="E8" i="1"/>
  <c r="D8" i="1"/>
  <c r="C8" i="1"/>
  <c r="B8" i="1"/>
  <c r="H7" i="1"/>
  <c r="G7" i="1"/>
  <c r="F7" i="1"/>
  <c r="E7" i="1"/>
  <c r="D7" i="1"/>
  <c r="C7" i="1"/>
  <c r="B7" i="1"/>
  <c r="H6" i="1"/>
  <c r="G6" i="1"/>
  <c r="F6" i="1"/>
  <c r="E6" i="1"/>
  <c r="D6" i="1"/>
  <c r="C6" i="1"/>
  <c r="B6" i="1"/>
  <c r="H5" i="1"/>
  <c r="G5" i="1"/>
  <c r="F5" i="1"/>
  <c r="E5" i="1"/>
  <c r="D5" i="1"/>
  <c r="C5" i="1"/>
  <c r="B5" i="1"/>
  <c r="H4" i="1"/>
  <c r="G4" i="1"/>
  <c r="F4" i="1"/>
  <c r="E4" i="1"/>
  <c r="D4" i="1"/>
  <c r="C4" i="1"/>
  <c r="B4" i="1"/>
  <c r="AP15" i="2"/>
  <c r="AO15" i="2"/>
  <c r="AN15" i="2"/>
  <c r="AP11" i="2"/>
  <c r="AO11" i="2"/>
  <c r="AN11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AP7" i="2"/>
  <c r="AO7" i="2"/>
  <c r="AN7" i="2"/>
  <c r="H7" i="2"/>
  <c r="G7" i="2"/>
  <c r="F7" i="2"/>
  <c r="E7" i="2"/>
  <c r="D7" i="2"/>
  <c r="C7" i="2"/>
  <c r="B7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H4" i="2"/>
  <c r="G4" i="2"/>
  <c r="F4" i="2"/>
  <c r="E4" i="2"/>
  <c r="D4" i="2"/>
  <c r="C4" i="2"/>
  <c r="B4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</calcChain>
</file>

<file path=xl/sharedStrings.xml><?xml version="1.0" encoding="utf-8"?>
<sst xmlns="http://schemas.openxmlformats.org/spreadsheetml/2006/main" count="46" uniqueCount="36">
  <si>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</si>
  <si>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</si>
  <si>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</si>
  <si>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</si>
  <si>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</si>
  <si>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</si>
  <si>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</si>
  <si>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</si>
  <si>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</si>
  <si>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</si>
  <si>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</si>
  <si>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</si>
  <si>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</si>
  <si>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</si>
  <si>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</si>
  <si>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流量-副业</t>
  </si>
  <si>
    <t>上课</t>
  </si>
  <si>
    <t>完成作业</t>
  </si>
  <si>
    <t>提升</t>
  </si>
  <si>
    <t>股票阅读笔记</t>
  </si>
  <si>
    <t>前端专业网课</t>
  </si>
  <si>
    <t>乱逛转发呆、听歌</t>
  </si>
  <si>
    <t>本日快捷清单</t>
  </si>
  <si>
    <t>备注</t>
  </si>
  <si>
    <t>完成</t>
  </si>
  <si>
    <t xml:space="preserve"> 做好上次的流量作业，预约下次的课程</t>
  </si>
  <si>
    <t>做高级搜索迭代</t>
  </si>
  <si>
    <t>集草器清单</t>
  </si>
  <si>
    <t>本周目的</t>
  </si>
  <si>
    <t>目标-利益关系人</t>
  </si>
  <si>
    <t>日期</t>
  </si>
  <si>
    <t>工程</t>
  </si>
  <si>
    <t>交付日期</t>
  </si>
  <si>
    <t>补卡</t>
  </si>
  <si>
    <t>闲鱼话费</t>
  </si>
  <si>
    <t>开启流量课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</si>
</sst>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dd"/>
    <numFmt numFmtId="179" formatCode="d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4506668294322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sz val="9"/>
      <name val="宋体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4506668294322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8" fontId="4" fillId="3" borderId="2" xfId="0" applyNumberFormat="1" applyFont="1" applyFill="1" applyBorder="1" applyAlignment="1">
      <alignment horizontal="center" vertical="center" wrapText="1"/>
    </xf>
    <xf numFmtId="0" fontId="0" fillId="0" borderId="0" xfId="0" applyFill="1">
      <alignment vertical="center"/>
    </xf>
    <xf numFmtId="0" fontId="9" fillId="2" borderId="3" xfId="0" applyFont="1" applyFill="1" applyBorder="1" applyAlignment="1">
      <alignment horizontal="center" vertical="center"/>
    </xf>
    <xf numFmtId="179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0" borderId="7" xfId="0" applyNumberFormat="1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</cellXfs>
  <cellStyles count="1">
    <cellStyle name="常规" xfId="0" builtinId="0"/>
  </cellStyles>
  <dxfs count="17"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4" tint="0.79995117038483843"/>
        </patternFill>
      </fill>
    </dxf>
    <dxf>
      <font>
        <color theme="0"/>
      </font>
    </dxf>
    <dxf>
      <font>
        <color theme="0"/>
      </font>
      <fill>
        <patternFill patternType="solid">
          <bgColor theme="5"/>
        </patternFill>
      </fill>
    </dxf>
    <dxf>
      <fill>
        <patternFill patternType="solid">
          <bgColor theme="7" tint="0.39997558519241921"/>
        </patternFill>
      </fill>
    </dxf>
    <dxf>
      <font>
        <color theme="0"/>
      </font>
    </dxf>
    <dxf>
      <font>
        <color theme="0"/>
      </font>
      <fill>
        <patternFill patternType="solid">
          <bgColor theme="5"/>
        </patternFill>
      </fill>
    </dxf>
    <dxf>
      <font>
        <color theme="8" tint="0.39994506668294322"/>
      </font>
      <fill>
        <patternFill patternType="solid">
          <bgColor theme="8" tint="0.39994506668294322"/>
        </patternFill>
      </fill>
    </dxf>
    <dxf>
      <font>
        <color theme="8" tint="0.59999389629810485"/>
      </font>
      <fill>
        <patternFill patternType="solid">
          <bgColor theme="8" tint="0.59999389629810485"/>
        </patternFill>
      </fill>
    </dxf>
    <dxf>
      <font>
        <color theme="5" tint="0.79995117038483843"/>
      </font>
      <fill>
        <patternFill patternType="solid">
          <bgColor theme="5" tint="0.79995117038483843"/>
        </patternFill>
      </fill>
    </dxf>
    <dxf>
      <numFmt numFmtId="180" formatCode=";;;"/>
    </dxf>
    <dxf>
      <fill>
        <patternFill patternType="solid">
          <bgColor theme="7" tint="0.39997558519241921"/>
        </patternFill>
      </fill>
    </dxf>
  </dxfs>
  <tableStyles count="0" defaultTableStyle="TableStyleMedium2" defaultPivotStyle="PivotStyleLight16"/>
  <colors>
    <mruColors>
      <color rgb="FF7DAAAB"/>
      <color rgb="FF696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8_53" displayName="表8_53" ref="B3:H9" totalsRowShown="0">
  <tableColumns count="7">
    <tableColumn id="1" xr3:uid="{00000000-0010-0000-0000-000001000000}" name="日">
      <calculatedColumnFormula>INT(DATE($C$2,$F$2,0)/7)*7+COLUMN(A1)+7*(ROW(B1)-1)</calculatedColumnFormula>
    </tableColumn>
    <tableColumn id="2" xr3:uid="{00000000-0010-0000-0000-000002000000}" name="一">
      <calculatedColumnFormula>INT(DATE($C$2,$F$2,0)/7)*7+COLUMN(B1)+7*(ROW(C1)-1)</calculatedColumnFormula>
    </tableColumn>
    <tableColumn id="3" xr3:uid="{00000000-0010-0000-0000-000003000000}" name="二">
      <calculatedColumnFormula>INT(DATE($C$2,$F$2,0)/7)*7+COLUMN(C1)+7*(ROW(D1)-1)</calculatedColumnFormula>
    </tableColumn>
    <tableColumn id="4" xr3:uid="{00000000-0010-0000-0000-000004000000}" name="三">
      <calculatedColumnFormula>INT(DATE($C$2,$F$2,0)/7)*7+COLUMN(D1)+7*(ROW(E1)-1)</calculatedColumnFormula>
    </tableColumn>
    <tableColumn id="5" xr3:uid="{00000000-0010-0000-0000-000005000000}" name="四">
      <calculatedColumnFormula>INT(DATE($C$2,$F$2,0)/7)*7+COLUMN(E1)+7*(ROW(F1)-1)</calculatedColumnFormula>
    </tableColumn>
    <tableColumn id="6" xr3:uid="{00000000-0010-0000-0000-000006000000}" name="五">
      <calculatedColumnFormula>INT(DATE($C$2,$F$2,0)/7)*7+COLUMN(F1)+7*(ROW(G1)-1)</calculatedColumnFormula>
    </tableColumn>
    <tableColumn id="7" xr3:uid="{00000000-0010-0000-0000-000007000000}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8_5" displayName="表8_5" ref="B3:H8" totalsRowShown="0">
  <tableColumns count="7">
    <tableColumn id="1" xr3:uid="{00000000-0010-0000-0100-000001000000}" name="日" dataDxfId="6">
      <calculatedColumnFormula>INT(DATE($C$2,$F$2,0)/7)*7+COLUMN(A1)+7*(ROW(B1)-1)</calculatedColumnFormula>
    </tableColumn>
    <tableColumn id="2" xr3:uid="{00000000-0010-0000-0100-000002000000}" name="一" dataDxfId="5">
      <calculatedColumnFormula>INT(DATE($C$2,$F$2,0)/7)*7+COLUMN(B1)+7*(ROW(C1)-1)</calculatedColumnFormula>
    </tableColumn>
    <tableColumn id="3" xr3:uid="{00000000-0010-0000-0100-000003000000}" name="二" dataDxfId="4">
      <calculatedColumnFormula>INT(DATE($C$2,$F$2,0)/7)*7+COLUMN(C1)+7*(ROW(D1)-1)</calculatedColumnFormula>
    </tableColumn>
    <tableColumn id="4" xr3:uid="{00000000-0010-0000-0100-000004000000}" name="三" dataDxfId="3">
      <calculatedColumnFormula>INT(DATE($C$2,$F$2,0)/7)*7+COLUMN(D1)+7*(ROW(E1)-1)</calculatedColumnFormula>
    </tableColumn>
    <tableColumn id="5" xr3:uid="{00000000-0010-0000-0100-000005000000}" name="四" dataDxfId="2">
      <calculatedColumnFormula>INT(DATE($C$2,$F$2,0)/7)*7+COLUMN(E1)+7*(ROW(F1)-1)</calculatedColumnFormula>
    </tableColumn>
    <tableColumn id="6" xr3:uid="{00000000-0010-0000-0100-000006000000}" name="五" dataDxfId="1">
      <calculatedColumnFormula>INT(DATE($C$2,$F$2,0)/7)*7+COLUMN(F1)+7*(ROW(G1)-1)</calculatedColumnFormula>
    </tableColumn>
    <tableColumn id="7" xr3:uid="{00000000-0010-0000-0100-000007000000}" name="六" dataDxfId="0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P33"/>
  <sheetViews>
    <sheetView showGridLines="0" showZeros="0" zoomScale="81" zoomScaleNormal="81" workbookViewId="0">
      <selection activeCell="K4" sqref="K4"/>
    </sheetView>
  </sheetViews>
  <sheetFormatPr defaultColWidth="9" defaultRowHeight="15.6" x14ac:dyDescent="0.25"/>
  <cols>
    <col min="1" max="1" width="0.77734375" customWidth="1"/>
    <col min="2" max="2" width="4.44140625" style="1" customWidth="1"/>
    <col min="3" max="3" width="5" style="1" customWidth="1"/>
    <col min="4" max="4" width="4.5546875" style="1" customWidth="1"/>
    <col min="5" max="5" width="5.109375" style="1" customWidth="1"/>
    <col min="6" max="6" width="5.33203125" style="1" customWidth="1"/>
    <col min="7" max="7" width="5" style="1" customWidth="1"/>
    <col min="8" max="8" width="4.77734375" style="1" customWidth="1"/>
    <col min="9" max="9" width="1" style="1" customWidth="1"/>
    <col min="10" max="10" width="10.44140625" style="2" customWidth="1"/>
    <col min="11" max="11" width="21.33203125" style="2" customWidth="1"/>
    <col min="12" max="42" width="3.44140625" style="1" customWidth="1"/>
  </cols>
  <sheetData>
    <row r="1" spans="1:42" x14ac:dyDescent="0.25">
      <c r="A1" s="3"/>
      <c r="J1" s="30" t="s">
        <v>0</v>
      </c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</row>
    <row r="2" spans="1:42" ht="24.6" x14ac:dyDescent="0.25">
      <c r="B2" s="4"/>
      <c r="C2" s="23">
        <v>2024</v>
      </c>
      <c r="D2" s="23"/>
      <c r="E2" s="5" t="s">
        <v>1</v>
      </c>
      <c r="F2" s="6">
        <v>5</v>
      </c>
      <c r="G2" s="5" t="s">
        <v>2</v>
      </c>
      <c r="H2" s="5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</row>
    <row r="3" spans="1:42" ht="22.95" customHeight="1" x14ac:dyDescent="0.25"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J3" s="11" t="s">
        <v>10</v>
      </c>
      <c r="K3" s="11" t="s">
        <v>11</v>
      </c>
      <c r="L3" s="12">
        <f>1</f>
        <v>1</v>
      </c>
      <c r="M3" s="12">
        <f t="shared" ref="M3:AP3" si="0">L3+1</f>
        <v>2</v>
      </c>
      <c r="N3" s="12">
        <f t="shared" si="0"/>
        <v>3</v>
      </c>
      <c r="O3" s="12">
        <f t="shared" si="0"/>
        <v>4</v>
      </c>
      <c r="P3" s="12">
        <f t="shared" si="0"/>
        <v>5</v>
      </c>
      <c r="Q3" s="12">
        <f t="shared" si="0"/>
        <v>6</v>
      </c>
      <c r="R3" s="12">
        <f t="shared" si="0"/>
        <v>7</v>
      </c>
      <c r="S3" s="12">
        <f t="shared" si="0"/>
        <v>8</v>
      </c>
      <c r="T3" s="12">
        <f t="shared" si="0"/>
        <v>9</v>
      </c>
      <c r="U3" s="12">
        <f t="shared" si="0"/>
        <v>10</v>
      </c>
      <c r="V3" s="12">
        <f t="shared" si="0"/>
        <v>11</v>
      </c>
      <c r="W3" s="12">
        <f t="shared" si="0"/>
        <v>12</v>
      </c>
      <c r="X3" s="12">
        <f t="shared" si="0"/>
        <v>13</v>
      </c>
      <c r="Y3" s="12">
        <f t="shared" si="0"/>
        <v>14</v>
      </c>
      <c r="Z3" s="12">
        <f t="shared" si="0"/>
        <v>15</v>
      </c>
      <c r="AA3" s="12">
        <f t="shared" si="0"/>
        <v>16</v>
      </c>
      <c r="AB3" s="12">
        <f t="shared" si="0"/>
        <v>17</v>
      </c>
      <c r="AC3" s="12">
        <f t="shared" si="0"/>
        <v>18</v>
      </c>
      <c r="AD3" s="12">
        <f t="shared" si="0"/>
        <v>19</v>
      </c>
      <c r="AE3" s="12">
        <f t="shared" si="0"/>
        <v>20</v>
      </c>
      <c r="AF3" s="12">
        <f t="shared" si="0"/>
        <v>21</v>
      </c>
      <c r="AG3" s="12">
        <f t="shared" si="0"/>
        <v>22</v>
      </c>
      <c r="AH3" s="12">
        <f t="shared" si="0"/>
        <v>23</v>
      </c>
      <c r="AI3" s="12">
        <f t="shared" si="0"/>
        <v>24</v>
      </c>
      <c r="AJ3" s="12">
        <f t="shared" si="0"/>
        <v>25</v>
      </c>
      <c r="AK3" s="12">
        <f t="shared" si="0"/>
        <v>26</v>
      </c>
      <c r="AL3" s="12">
        <f t="shared" si="0"/>
        <v>27</v>
      </c>
      <c r="AM3" s="12">
        <f t="shared" si="0"/>
        <v>28</v>
      </c>
      <c r="AN3" s="12">
        <f t="shared" si="0"/>
        <v>29</v>
      </c>
      <c r="AO3" s="12">
        <f t="shared" si="0"/>
        <v>30</v>
      </c>
      <c r="AP3" s="12">
        <f t="shared" si="0"/>
        <v>31</v>
      </c>
    </row>
    <row r="4" spans="1:42" ht="28.05" customHeight="1" x14ac:dyDescent="0.25">
      <c r="A4" s="8"/>
      <c r="B4" s="9">
        <f t="shared" ref="B4:H9" si="1">INT(DATE($C$2,$F$2,0)/7)*7+COLUMN(A1)+7*(ROW(B1)-1)</f>
        <v>45410</v>
      </c>
      <c r="C4" s="9">
        <f t="shared" si="1"/>
        <v>45411</v>
      </c>
      <c r="D4" s="9">
        <f t="shared" si="1"/>
        <v>45412</v>
      </c>
      <c r="E4" s="9">
        <f t="shared" si="1"/>
        <v>45413</v>
      </c>
      <c r="F4" s="9">
        <f t="shared" si="1"/>
        <v>45414</v>
      </c>
      <c r="G4" s="9">
        <f t="shared" si="1"/>
        <v>45415</v>
      </c>
      <c r="H4" s="9">
        <f t="shared" si="1"/>
        <v>45416</v>
      </c>
      <c r="J4" s="26" t="s">
        <v>12</v>
      </c>
      <c r="K4" s="17" t="s">
        <v>13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</row>
    <row r="5" spans="1:42" ht="28.05" customHeight="1" x14ac:dyDescent="0.25">
      <c r="B5" s="9">
        <f t="shared" si="1"/>
        <v>45417</v>
      </c>
      <c r="C5" s="9">
        <f t="shared" si="1"/>
        <v>45418</v>
      </c>
      <c r="D5" s="9">
        <f t="shared" si="1"/>
        <v>45419</v>
      </c>
      <c r="E5" s="9">
        <f t="shared" si="1"/>
        <v>45420</v>
      </c>
      <c r="F5" s="9">
        <f t="shared" si="1"/>
        <v>45421</v>
      </c>
      <c r="G5" s="9">
        <f t="shared" si="1"/>
        <v>45422</v>
      </c>
      <c r="H5" s="9">
        <f t="shared" si="1"/>
        <v>45423</v>
      </c>
      <c r="J5" s="27"/>
      <c r="K5" s="17" t="s">
        <v>14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</row>
    <row r="6" spans="1:42" ht="28.05" customHeight="1" x14ac:dyDescent="0.25">
      <c r="B6" s="9">
        <f t="shared" si="1"/>
        <v>45424</v>
      </c>
      <c r="C6" s="9">
        <f t="shared" si="1"/>
        <v>45425</v>
      </c>
      <c r="D6" s="9">
        <f t="shared" si="1"/>
        <v>45426</v>
      </c>
      <c r="E6" s="9">
        <f t="shared" si="1"/>
        <v>45427</v>
      </c>
      <c r="F6" s="9">
        <f t="shared" si="1"/>
        <v>45428</v>
      </c>
      <c r="G6" s="9">
        <f t="shared" si="1"/>
        <v>45429</v>
      </c>
      <c r="H6" s="9">
        <f t="shared" si="1"/>
        <v>45430</v>
      </c>
      <c r="J6" s="27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</row>
    <row r="7" spans="1:42" ht="28.05" customHeight="1" x14ac:dyDescent="0.25">
      <c r="B7" s="9">
        <f t="shared" si="1"/>
        <v>45431</v>
      </c>
      <c r="C7" s="9">
        <f t="shared" si="1"/>
        <v>45432</v>
      </c>
      <c r="D7" s="9">
        <f t="shared" si="1"/>
        <v>45433</v>
      </c>
      <c r="E7" s="9">
        <f t="shared" si="1"/>
        <v>45434</v>
      </c>
      <c r="F7" s="9">
        <f t="shared" si="1"/>
        <v>45435</v>
      </c>
      <c r="G7" s="9">
        <f t="shared" si="1"/>
        <v>45436</v>
      </c>
      <c r="H7" s="9">
        <f t="shared" si="1"/>
        <v>45437</v>
      </c>
      <c r="J7" s="28"/>
      <c r="K7" s="18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>
        <f t="shared" ref="AN7:AP7" si="2">COUNTIF(AN4:AN6,"√")</f>
        <v>0</v>
      </c>
      <c r="AO7" s="19">
        <f t="shared" si="2"/>
        <v>0</v>
      </c>
      <c r="AP7" s="19">
        <f t="shared" si="2"/>
        <v>0</v>
      </c>
    </row>
    <row r="8" spans="1:42" ht="28.05" customHeight="1" x14ac:dyDescent="0.25">
      <c r="B8" s="9">
        <f t="shared" si="1"/>
        <v>45438</v>
      </c>
      <c r="C8" s="9">
        <f t="shared" si="1"/>
        <v>45439</v>
      </c>
      <c r="D8" s="9">
        <f t="shared" si="1"/>
        <v>45440</v>
      </c>
      <c r="E8" s="9">
        <f t="shared" si="1"/>
        <v>45441</v>
      </c>
      <c r="F8" s="9">
        <f t="shared" si="1"/>
        <v>45442</v>
      </c>
      <c r="G8" s="9">
        <f t="shared" si="1"/>
        <v>45443</v>
      </c>
      <c r="H8" s="9">
        <f t="shared" si="1"/>
        <v>45444</v>
      </c>
      <c r="J8" s="29" t="s">
        <v>15</v>
      </c>
      <c r="K8" s="13" t="s">
        <v>16</v>
      </c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</row>
    <row r="9" spans="1:42" ht="28.05" customHeight="1" x14ac:dyDescent="0.25">
      <c r="B9" s="9">
        <f t="shared" si="1"/>
        <v>45445</v>
      </c>
      <c r="C9" s="9">
        <f t="shared" si="1"/>
        <v>45446</v>
      </c>
      <c r="D9" s="9">
        <f t="shared" si="1"/>
        <v>45447</v>
      </c>
      <c r="E9" s="9">
        <f t="shared" si="1"/>
        <v>45448</v>
      </c>
      <c r="F9" s="9">
        <f t="shared" si="1"/>
        <v>45449</v>
      </c>
      <c r="G9" s="9">
        <f t="shared" si="1"/>
        <v>45450</v>
      </c>
      <c r="H9" s="9">
        <f t="shared" si="1"/>
        <v>45451</v>
      </c>
      <c r="J9" s="27"/>
      <c r="K9" s="13" t="s">
        <v>17</v>
      </c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</row>
    <row r="10" spans="1:42" ht="22.95" customHeight="1" x14ac:dyDescent="0.25">
      <c r="J10" s="27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</row>
    <row r="11" spans="1:42" ht="22.95" customHeight="1" x14ac:dyDescent="0.25">
      <c r="J11" s="28"/>
      <c r="K11" s="20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>
        <f t="shared" ref="AN11:AP11" si="3">COUNTIF(AN8:AN10,"√")</f>
        <v>0</v>
      </c>
      <c r="AO11" s="13">
        <f t="shared" si="3"/>
        <v>0</v>
      </c>
      <c r="AP11" s="13">
        <f t="shared" si="3"/>
        <v>0</v>
      </c>
    </row>
    <row r="12" spans="1:42" ht="22.95" customHeight="1" x14ac:dyDescent="0.25">
      <c r="J12" s="26" t="s">
        <v>18</v>
      </c>
      <c r="K12" s="15" t="s">
        <v>19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2" ht="22.95" customHeight="1" x14ac:dyDescent="0.25">
      <c r="J13" s="27"/>
      <c r="K13" s="15" t="s">
        <v>20</v>
      </c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2" ht="22.95" customHeight="1" x14ac:dyDescent="0.25">
      <c r="J14" s="27"/>
      <c r="K14" s="15" t="s">
        <v>21</v>
      </c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2" ht="22.95" customHeight="1" x14ac:dyDescent="0.25">
      <c r="J15" s="28"/>
      <c r="K15" s="21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>
        <f t="shared" ref="AN15:AP15" si="4">COUNTIF(AN12:AN14,"√")</f>
        <v>0</v>
      </c>
      <c r="AO15" s="15">
        <f t="shared" si="4"/>
        <v>0</v>
      </c>
      <c r="AP15" s="15">
        <f t="shared" si="4"/>
        <v>0</v>
      </c>
    </row>
    <row r="16" spans="1:42" ht="22.95" customHeight="1" x14ac:dyDescent="0.25">
      <c r="J16"/>
      <c r="K16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</row>
    <row r="17" spans="10:42" ht="22.95" customHeight="1" x14ac:dyDescent="0.25">
      <c r="J17"/>
      <c r="K17" s="24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2"/>
      <c r="AE17" s="22"/>
      <c r="AF17" s="22"/>
      <c r="AG17" s="22"/>
      <c r="AH17" s="22"/>
      <c r="AI17" s="22"/>
      <c r="AJ17" s="22"/>
      <c r="AK17" s="22"/>
      <c r="AL17" s="22"/>
      <c r="AM17" s="22">
        <v>0</v>
      </c>
      <c r="AN17" s="22"/>
      <c r="AO17" s="22"/>
      <c r="AP17" s="22"/>
    </row>
    <row r="18" spans="10:42" ht="22.95" customHeight="1" x14ac:dyDescent="0.25">
      <c r="J18"/>
      <c r="K18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</row>
    <row r="19" spans="10:42" ht="22.95" hidden="1" customHeight="1" x14ac:dyDescent="0.25">
      <c r="J19"/>
      <c r="K19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</row>
    <row r="20" spans="10:42" ht="22.95" hidden="1" customHeight="1" x14ac:dyDescent="0.25">
      <c r="J20"/>
      <c r="K20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</row>
    <row r="21" spans="10:42" ht="22.95" hidden="1" customHeight="1" x14ac:dyDescent="0.25">
      <c r="J21"/>
      <c r="K21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</row>
    <row r="22" spans="10:42" ht="22.95" hidden="1" customHeight="1" x14ac:dyDescent="0.25">
      <c r="J22"/>
      <c r="K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</row>
    <row r="23" spans="10:42" ht="22.95" hidden="1" customHeight="1" x14ac:dyDescent="0.25">
      <c r="J23"/>
      <c r="K23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</row>
    <row r="24" spans="10:42" ht="22.95" hidden="1" customHeight="1" x14ac:dyDescent="0.25">
      <c r="J24"/>
      <c r="K24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</row>
    <row r="25" spans="10:42" ht="22.95" hidden="1" customHeight="1" x14ac:dyDescent="0.25">
      <c r="J25"/>
      <c r="K25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</row>
    <row r="26" spans="10:42" ht="22.95" hidden="1" customHeight="1" x14ac:dyDescent="0.25"/>
    <row r="27" spans="10:42" ht="22.95" hidden="1" customHeight="1" x14ac:dyDescent="0.25"/>
    <row r="28" spans="10:42" ht="22.95" hidden="1" customHeight="1" x14ac:dyDescent="0.25"/>
    <row r="29" spans="10:42" ht="22.95" hidden="1" customHeight="1" x14ac:dyDescent="0.25"/>
    <row r="30" spans="10:42" ht="22.95" hidden="1" customHeight="1" x14ac:dyDescent="0.25"/>
    <row r="31" spans="10:42" ht="22.95" hidden="1" customHeight="1" x14ac:dyDescent="0.25"/>
    <row r="32" spans="10:42" ht="22.95" hidden="1" customHeight="1" x14ac:dyDescent="0.25"/>
    <row r="33" ht="22.95" hidden="1" customHeight="1" x14ac:dyDescent="0.25"/>
  </sheetData>
  <mergeCells count="6">
    <mergeCell ref="C2:D2"/>
    <mergeCell ref="K17:AC17"/>
    <mergeCell ref="J4:J7"/>
    <mergeCell ref="J8:J11"/>
    <mergeCell ref="J12:J15"/>
    <mergeCell ref="J1:AP2"/>
  </mergeCells>
  <phoneticPr fontId="13" type="noConversion"/>
  <conditionalFormatting sqref="L3:AP3">
    <cfRule type="cellIs" dxfId="16" priority="1" operator="equal">
      <formula>DAY(TODAY())</formula>
    </cfRule>
  </conditionalFormatting>
  <conditionalFormatting sqref="AN3:AP3">
    <cfRule type="expression" dxfId="15" priority="12">
      <formula>MONTH(AN3)&gt;MONTH(AK3)</formula>
    </cfRule>
  </conditionalFormatting>
  <conditionalFormatting sqref="L7:AP7">
    <cfRule type="expression" dxfId="14" priority="4">
      <formula>COUNTIF(L4:L6,"√")&gt;0</formula>
    </cfRule>
  </conditionalFormatting>
  <conditionalFormatting sqref="L11:AP11">
    <cfRule type="expression" dxfId="13" priority="3">
      <formula>COUNTIF(L8:L10,"√")&gt;0</formula>
    </cfRule>
  </conditionalFormatting>
  <conditionalFormatting sqref="L15:AP15">
    <cfRule type="expression" dxfId="12" priority="2">
      <formula>COUNTIF(L12:L14,"√")&gt;0</formula>
    </cfRule>
  </conditionalFormatting>
  <conditionalFormatting sqref="B4:H9">
    <cfRule type="cellIs" dxfId="11" priority="13" operator="equal">
      <formula>TODAY()</formula>
    </cfRule>
    <cfRule type="expression" dxfId="10" priority="14">
      <formula>MONTH(B4)&lt;&gt;$F$2</formula>
    </cfRule>
  </conditionalFormatting>
  <pageMargins left="0.75" right="0.75" top="1" bottom="1" header="0.5" footer="0.5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0"/>
  <sheetViews>
    <sheetView showGridLines="0" showZeros="0" tabSelected="1" zoomScale="85" zoomScaleNormal="85" workbookViewId="0">
      <selection activeCell="K10" sqref="K10:L10"/>
    </sheetView>
  </sheetViews>
  <sheetFormatPr defaultColWidth="9" defaultRowHeight="15.6" x14ac:dyDescent="0.25"/>
  <cols>
    <col min="1" max="1" width="3.6640625" customWidth="1"/>
    <col min="2" max="8" width="5.109375" style="1" customWidth="1"/>
    <col min="9" max="10" width="3.88671875" style="1" customWidth="1"/>
    <col min="11" max="11" width="46.44140625" style="2" customWidth="1"/>
    <col min="12" max="12" width="44.88671875" style="2" customWidth="1"/>
    <col min="13" max="13" width="11.77734375" style="1" customWidth="1"/>
  </cols>
  <sheetData>
    <row r="1" spans="1:13" x14ac:dyDescent="0.25">
      <c r="A1" s="3"/>
      <c r="K1" s="30" t="s">
        <v>22</v>
      </c>
      <c r="L1" s="30"/>
      <c r="M1" s="30"/>
    </row>
    <row r="2" spans="1:13" ht="24.6" x14ac:dyDescent="0.25">
      <c r="B2" s="4"/>
      <c r="C2" s="23">
        <v>2024</v>
      </c>
      <c r="D2" s="23"/>
      <c r="E2" s="5" t="s">
        <v>1</v>
      </c>
      <c r="F2" s="6">
        <v>5</v>
      </c>
      <c r="G2" s="5" t="s">
        <v>2</v>
      </c>
      <c r="H2" s="5"/>
      <c r="K2" s="30"/>
      <c r="L2" s="30"/>
      <c r="M2" s="30"/>
    </row>
    <row r="3" spans="1:13" ht="22.95" customHeight="1" x14ac:dyDescent="0.25"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K3" s="11" t="s">
        <v>12</v>
      </c>
      <c r="L3" s="11" t="s">
        <v>23</v>
      </c>
      <c r="M3" s="12" t="s">
        <v>24</v>
      </c>
    </row>
    <row r="4" spans="1:13" ht="25.95" customHeight="1" x14ac:dyDescent="0.25">
      <c r="A4" s="8"/>
      <c r="B4" s="9">
        <f t="shared" ref="B4:H5" si="0">INT(DATE($C$2,$F$2,0)/7)*7+COLUMN(A1)+7*(ROW(B1)-1)</f>
        <v>45410</v>
      </c>
      <c r="C4" s="9">
        <f t="shared" si="0"/>
        <v>45411</v>
      </c>
      <c r="D4" s="9">
        <f t="shared" si="0"/>
        <v>45412</v>
      </c>
      <c r="E4" s="9">
        <f t="shared" si="0"/>
        <v>45413</v>
      </c>
      <c r="F4" s="9">
        <f t="shared" si="0"/>
        <v>45414</v>
      </c>
      <c r="G4" s="9">
        <f t="shared" si="0"/>
        <v>45415</v>
      </c>
      <c r="H4" s="9">
        <f t="shared" si="0"/>
        <v>45416</v>
      </c>
      <c r="K4" s="13" t="s">
        <v>26</v>
      </c>
      <c r="L4" s="13"/>
      <c r="M4" s="13"/>
    </row>
    <row r="5" spans="1:13" ht="25.95" customHeight="1" x14ac:dyDescent="0.25">
      <c r="B5" s="9">
        <f t="shared" si="0"/>
        <v>45417</v>
      </c>
      <c r="C5" s="9">
        <f t="shared" si="0"/>
        <v>45418</v>
      </c>
      <c r="D5" s="9">
        <f t="shared" si="0"/>
        <v>45419</v>
      </c>
      <c r="E5" s="9">
        <f t="shared" si="0"/>
        <v>45420</v>
      </c>
      <c r="F5" s="9">
        <f t="shared" si="0"/>
        <v>45421</v>
      </c>
      <c r="G5" s="9">
        <f t="shared" si="0"/>
        <v>45422</v>
      </c>
      <c r="H5" s="9">
        <f t="shared" si="0"/>
        <v>45423</v>
      </c>
      <c r="K5" s="13" t="s">
        <v>25</v>
      </c>
      <c r="L5" s="13"/>
      <c r="M5" s="13"/>
    </row>
    <row r="6" spans="1:13" ht="25.95" customHeight="1" x14ac:dyDescent="0.25">
      <c r="B6" s="9">
        <f>INT(DATE($C$2,$F$2,0)/7)*7+COLUMN(A3)+7*(ROW(B3)-1)</f>
        <v>45424</v>
      </c>
      <c r="C6" s="9">
        <f t="shared" ref="C6:H6" si="1">INT(DATE($C$2,$F$2,0)/7)*7+COLUMN(B3)+7*(ROW(C3)-1)</f>
        <v>45425</v>
      </c>
      <c r="D6" s="9">
        <f t="shared" si="1"/>
        <v>45426</v>
      </c>
      <c r="E6" s="9">
        <f t="shared" si="1"/>
        <v>45427</v>
      </c>
      <c r="F6" s="9">
        <f t="shared" si="1"/>
        <v>45428</v>
      </c>
      <c r="G6" s="9">
        <f t="shared" si="1"/>
        <v>45429</v>
      </c>
      <c r="H6" s="9">
        <f t="shared" si="1"/>
        <v>45430</v>
      </c>
      <c r="K6" s="13"/>
      <c r="L6" s="13"/>
      <c r="M6" s="13"/>
    </row>
    <row r="7" spans="1:13" ht="25.95" customHeight="1" x14ac:dyDescent="0.25">
      <c r="B7" s="9">
        <f>INT(DATE($C$2,$F$2,0)/7)*7+COLUMN(A4)+7*(ROW(B4)-1)</f>
        <v>45431</v>
      </c>
      <c r="C7" s="9">
        <f t="shared" ref="C7:H8" si="2">INT(DATE($C$2,$F$2,0)/7)*7+COLUMN(B4)+7*(ROW(C4)-1)</f>
        <v>45432</v>
      </c>
      <c r="D7" s="9">
        <f t="shared" si="2"/>
        <v>45433</v>
      </c>
      <c r="E7" s="9">
        <f t="shared" si="2"/>
        <v>45434</v>
      </c>
      <c r="F7" s="9">
        <f t="shared" si="2"/>
        <v>45435</v>
      </c>
      <c r="G7" s="9">
        <f t="shared" si="2"/>
        <v>45436</v>
      </c>
      <c r="H7" s="9">
        <f t="shared" si="2"/>
        <v>45437</v>
      </c>
      <c r="K7" s="13"/>
      <c r="L7" s="13"/>
      <c r="M7" s="13"/>
    </row>
    <row r="8" spans="1:13" ht="25.95" customHeight="1" x14ac:dyDescent="0.25">
      <c r="B8" s="9">
        <f>INT(DATE($C$2,$F$2,0)/7)*7+COLUMN(A5)+7*(ROW(B5)-1)</f>
        <v>45438</v>
      </c>
      <c r="C8" s="9">
        <f t="shared" si="2"/>
        <v>45439</v>
      </c>
      <c r="D8" s="9">
        <f t="shared" si="2"/>
        <v>45440</v>
      </c>
      <c r="E8" s="9">
        <f t="shared" si="2"/>
        <v>45441</v>
      </c>
      <c r="F8" s="9">
        <f t="shared" si="2"/>
        <v>45442</v>
      </c>
      <c r="G8" s="9">
        <f t="shared" si="2"/>
        <v>45443</v>
      </c>
      <c r="H8" s="9">
        <f t="shared" si="2"/>
        <v>45444</v>
      </c>
      <c r="K8" s="14"/>
      <c r="L8" s="13"/>
      <c r="M8" s="13"/>
    </row>
    <row r="9" spans="1:13" ht="37.049999999999997" customHeight="1" x14ac:dyDescent="0.25">
      <c r="B9" s="31" t="s">
        <v>27</v>
      </c>
      <c r="C9" s="32"/>
      <c r="D9" s="32"/>
      <c r="E9" s="32"/>
      <c r="F9" s="32"/>
      <c r="G9" s="32"/>
      <c r="H9" s="32"/>
      <c r="K9" s="33" t="s">
        <v>28</v>
      </c>
      <c r="L9" s="34"/>
      <c r="M9" s="35"/>
    </row>
    <row r="10" spans="1:13" ht="25.95" customHeight="1" x14ac:dyDescent="0.25">
      <c r="A10" s="10"/>
      <c r="B10" s="36" t="s">
        <v>29</v>
      </c>
      <c r="C10" s="36"/>
      <c r="D10" s="36"/>
      <c r="E10" s="36"/>
      <c r="F10" s="36"/>
      <c r="G10" s="36"/>
      <c r="H10" s="36"/>
      <c r="I10" s="37" t="s">
        <v>30</v>
      </c>
      <c r="J10" s="37"/>
      <c r="K10" s="38" t="s">
        <v>31</v>
      </c>
      <c r="L10" s="39"/>
      <c r="M10" s="16" t="s">
        <v>32</v>
      </c>
    </row>
    <row r="11" spans="1:13" ht="25.95" customHeight="1" x14ac:dyDescent="0.25">
      <c r="A11" s="10"/>
      <c r="B11" s="40" t="s">
        <v>33</v>
      </c>
      <c r="C11" s="40"/>
      <c r="D11" s="40"/>
      <c r="E11" s="40"/>
      <c r="F11" s="40"/>
      <c r="G11" s="40"/>
      <c r="H11" s="40"/>
      <c r="I11" s="41"/>
      <c r="J11" s="41"/>
      <c r="K11" s="42"/>
      <c r="L11" s="35"/>
      <c r="M11" s="13"/>
    </row>
    <row r="12" spans="1:13" ht="25.95" customHeight="1" x14ac:dyDescent="0.25">
      <c r="A12" s="10"/>
      <c r="B12" s="40" t="s">
        <v>34</v>
      </c>
      <c r="C12" s="40"/>
      <c r="D12" s="40"/>
      <c r="E12" s="40"/>
      <c r="F12" s="40"/>
      <c r="G12" s="40"/>
      <c r="H12" s="40"/>
      <c r="I12" s="41"/>
      <c r="J12" s="41"/>
      <c r="K12" s="42" t="s">
        <v>35</v>
      </c>
      <c r="L12" s="35"/>
      <c r="M12" s="13">
        <v>5.26</v>
      </c>
    </row>
    <row r="13" spans="1:13" ht="25.95" customHeight="1" x14ac:dyDescent="0.25">
      <c r="A13" s="10"/>
      <c r="B13" s="40"/>
      <c r="C13" s="40"/>
      <c r="D13" s="40"/>
      <c r="E13" s="40"/>
      <c r="F13" s="40"/>
      <c r="G13" s="40"/>
      <c r="H13" s="40"/>
      <c r="I13" s="41"/>
      <c r="J13" s="41"/>
      <c r="K13" s="42"/>
      <c r="L13" s="35"/>
      <c r="M13" s="13"/>
    </row>
    <row r="14" spans="1:13" ht="25.95" customHeight="1" x14ac:dyDescent="0.25">
      <c r="A14" s="10"/>
      <c r="B14" s="40"/>
      <c r="C14" s="40"/>
      <c r="D14" s="40"/>
      <c r="E14" s="40"/>
      <c r="F14" s="40"/>
      <c r="G14" s="40"/>
      <c r="H14" s="40"/>
      <c r="I14" s="41"/>
      <c r="J14" s="41"/>
      <c r="K14" s="42"/>
      <c r="L14" s="35"/>
      <c r="M14" s="13"/>
    </row>
    <row r="15" spans="1:13" ht="25.95" customHeight="1" x14ac:dyDescent="0.25">
      <c r="A15" s="10"/>
      <c r="B15" s="40"/>
      <c r="C15" s="40"/>
      <c r="D15" s="40"/>
      <c r="E15" s="40"/>
      <c r="F15" s="40"/>
      <c r="G15" s="40"/>
      <c r="H15" s="40"/>
      <c r="I15" s="41"/>
      <c r="J15" s="41"/>
      <c r="K15" s="42"/>
      <c r="L15" s="35"/>
      <c r="M15" s="13"/>
    </row>
    <row r="16" spans="1:13" ht="25.95" customHeight="1" x14ac:dyDescent="0.25">
      <c r="A16" s="10"/>
      <c r="B16" s="40"/>
      <c r="C16" s="40"/>
      <c r="D16" s="40"/>
      <c r="E16" s="40"/>
      <c r="F16" s="40"/>
      <c r="G16" s="40"/>
      <c r="H16" s="40"/>
      <c r="I16" s="41"/>
      <c r="J16" s="41"/>
      <c r="K16" s="42"/>
      <c r="L16" s="35"/>
      <c r="M16" s="13"/>
    </row>
    <row r="17" spans="1:13" ht="25.95" customHeight="1" x14ac:dyDescent="0.25">
      <c r="A17" s="10"/>
      <c r="B17" s="40"/>
      <c r="C17" s="40"/>
      <c r="D17" s="40"/>
      <c r="E17" s="40"/>
      <c r="F17" s="40"/>
      <c r="G17" s="40"/>
      <c r="H17" s="40"/>
      <c r="I17" s="41"/>
      <c r="J17" s="41"/>
      <c r="K17" s="42"/>
      <c r="L17" s="35"/>
      <c r="M17" s="13"/>
    </row>
    <row r="18" spans="1:13" ht="25.95" customHeight="1" x14ac:dyDescent="0.25">
      <c r="A18" s="10"/>
      <c r="B18" s="40"/>
      <c r="C18" s="40"/>
      <c r="D18" s="40"/>
      <c r="E18" s="40"/>
      <c r="F18" s="40"/>
      <c r="G18" s="40"/>
      <c r="H18" s="40"/>
      <c r="I18" s="41"/>
      <c r="J18" s="41"/>
      <c r="K18" s="42"/>
      <c r="L18" s="35"/>
      <c r="M18" s="13"/>
    </row>
    <row r="19" spans="1:13" ht="25.95" customHeight="1" x14ac:dyDescent="0.25">
      <c r="A19" s="10"/>
      <c r="B19" s="40"/>
      <c r="C19" s="40"/>
      <c r="D19" s="40"/>
      <c r="E19" s="40"/>
      <c r="F19" s="40"/>
      <c r="G19" s="40"/>
      <c r="H19" s="40"/>
      <c r="I19" s="41"/>
      <c r="J19" s="41"/>
      <c r="K19" s="42"/>
      <c r="L19" s="35"/>
      <c r="M19" s="13"/>
    </row>
    <row r="20" spans="1:13" ht="25.95" customHeight="1" x14ac:dyDescent="0.25">
      <c r="A20" s="10"/>
      <c r="B20" s="40"/>
      <c r="C20" s="40"/>
      <c r="D20" s="40"/>
      <c r="E20" s="40"/>
      <c r="F20" s="40"/>
      <c r="G20" s="40"/>
      <c r="H20" s="40"/>
      <c r="I20" s="41"/>
      <c r="J20" s="41"/>
      <c r="K20" s="42"/>
      <c r="L20" s="35"/>
      <c r="M20" s="13"/>
    </row>
  </sheetData>
  <autoFilter ref="I9:M10" xr:uid="{00000000-0001-0000-0100-000000000000}">
    <filterColumn colId="2" showButton="0"/>
    <filterColumn colId="3" showButton="0"/>
  </autoFilter>
  <sortState xmlns:xlrd2="http://schemas.microsoft.com/office/spreadsheetml/2017/richdata2" ref="K4:K8">
    <sortCondition descending="1" ref="K4:K8"/>
  </sortState>
  <mergeCells count="37">
    <mergeCell ref="B19:H19"/>
    <mergeCell ref="I19:J19"/>
    <mergeCell ref="K19:L19"/>
    <mergeCell ref="B20:H20"/>
    <mergeCell ref="I20:J20"/>
    <mergeCell ref="K20:L20"/>
    <mergeCell ref="B17:H17"/>
    <mergeCell ref="I17:J17"/>
    <mergeCell ref="K17:L17"/>
    <mergeCell ref="B18:H18"/>
    <mergeCell ref="I18:J18"/>
    <mergeCell ref="K18:L18"/>
    <mergeCell ref="B15:H15"/>
    <mergeCell ref="I15:J15"/>
    <mergeCell ref="K15:L15"/>
    <mergeCell ref="B16:H16"/>
    <mergeCell ref="I16:J16"/>
    <mergeCell ref="K16:L16"/>
    <mergeCell ref="B13:H13"/>
    <mergeCell ref="I13:J13"/>
    <mergeCell ref="K13:L13"/>
    <mergeCell ref="B14:H14"/>
    <mergeCell ref="I14:J14"/>
    <mergeCell ref="K14:L14"/>
    <mergeCell ref="B11:H11"/>
    <mergeCell ref="I11:J11"/>
    <mergeCell ref="K11:L11"/>
    <mergeCell ref="B12:H12"/>
    <mergeCell ref="I12:J12"/>
    <mergeCell ref="K12:L12"/>
    <mergeCell ref="C2:D2"/>
    <mergeCell ref="B9:H9"/>
    <mergeCell ref="K9:M9"/>
    <mergeCell ref="B10:H10"/>
    <mergeCell ref="I10:J10"/>
    <mergeCell ref="K10:L10"/>
    <mergeCell ref="K1:M2"/>
  </mergeCells>
  <phoneticPr fontId="13" type="noConversion"/>
  <conditionalFormatting sqref="M3">
    <cfRule type="cellIs" dxfId="9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7" priority="33">
      <formula>MONTH(B4)&lt;&gt;$F$2</formula>
    </cfRule>
  </conditionalFormatting>
  <pageMargins left="0.75" right="0.75" top="1" bottom="1" header="0.5" footer="0.5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2021-06-30T08:13:00Z</dcterms:created>
  <dcterms:modified xsi:type="dcterms:W3CDTF">2024-05-22T04:56:01Z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2052-12.1.0.16729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