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740" windowHeight="7000" activeTab="2"/>
  </bookViews>
  <sheets>
    <sheet name="当日" sheetId="1" r:id="rId1"/>
    <sheet name="月度" sheetId="2" r:id="rId2"/>
    <sheet name="记忆" sheetId="4" r:id="rId3"/>
    <sheet name="账户" sheetId="3" r:id="rId4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<sst xmlns="http://schemas.openxmlformats.org/spreadsheetml/2006/main" count="53" uniqueCount="41">
  <si>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</si>
  <si>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</si>
  <si>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</si>
  <si>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</si>
  <si>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</si>
  <si>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</si>
  <si>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</si>
  <si>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</si>
  <si>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</si>
  <si>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</si>
  <si>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</si>
  <si>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</si>
  <si>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</si>
  <si>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</si>
  <si>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</si>
  <si>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</si>
  <si>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</si>
  <si>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</si>
  <si>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</si>
  <si>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目标表</t>
  </si>
  <si>
    <t>目标</t>
  </si>
  <si>
    <t>事项弹性</t>
  </si>
  <si>
    <t>主业</t>
  </si>
  <si>
    <t>20分钟看课</t>
  </si>
  <si>
    <t>√</t>
  </si>
  <si>
    <t>40分钟背诵默写</t>
  </si>
  <si>
    <t>换环境复习20分钟</t>
  </si>
  <si>
    <t>精力</t>
  </si>
  <si>
    <t>10:30放下手机</t>
  </si>
  <si>
    <t>理财</t>
  </si>
  <si>
    <t>研究选股加代码</t>
  </si>
  <si>
    <t>研究隔夜单</t>
  </si>
  <si>
    <t>1、2、7、14、30、45、60、80、100天复习；-1，-6，-13，-29，-44，-59，-79，-99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</si>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</sst>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9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3" applyNumberFormat="0" applyAlignment="0" applyProtection="0">
      <alignment vertical="center"/>
    </xf>
    <xf numFmtId="0" fontId="25" fillId="11" borderId="12" applyNumberFormat="0" applyAlignment="0" applyProtection="0">
      <alignment vertical="center"/>
    </xf>
    <xf numFmtId="0" fontId="26" fillId="12" borderId="14" applyNumberFormat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0" borderId="0" xfId="0" applyFont="1">
      <alignment vertical="center"/>
    </xf>
    <xf numFmtId="176" fontId="7" fillId="4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177" fontId="10" fillId="3" borderId="3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14" fillId="0" borderId="2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0" fillId="3" borderId="7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zoomScale="85" zoomScaleNormal="85" topLeftCell="A3" workbookViewId="0">
      <selection activeCell="M11" sqref="M11"/>
    </sheetView>
  </sheetViews>
  <sheetFormatPr defaultColWidth="9" defaultRowHeight="16.5"/>
  <cols>
    <col min="1" max="1" width="3.66363636363636" customWidth="1"/>
    <col min="2" max="8" width="5.10909090909091" style="7" customWidth="1"/>
    <col min="9" max="10" width="3.89090909090909" style="7" customWidth="1"/>
    <col min="11" max="11" width="46.4454545454545" style="8" customWidth="1"/>
    <col min="12" max="12" width="44.8909090909091" style="8" customWidth="1"/>
    <col min="13" max="13" width="11.7818181818182" style="7" customWidth="1"/>
  </cols>
  <sheetData>
    <row r="1" spans="11:13">
      <c r="K1" s="16" t="s">
        <v>0</v>
      </c>
      <c r="L1" s="16"/>
      <c r="M1" s="16"/>
    </row>
    <row r="2" ht="24" spans="2:13">
      <c r="B2" s="9"/>
      <c r="C2" s="10">
        <v>2024</v>
      </c>
      <c r="D2" s="10"/>
      <c r="E2" s="11" t="s">
        <v>1</v>
      </c>
      <c r="F2" s="12">
        <v>9</v>
      </c>
      <c r="G2" s="11" t="s">
        <v>2</v>
      </c>
      <c r="H2" s="11"/>
      <c r="K2" s="16"/>
      <c r="L2" s="16"/>
      <c r="M2" s="16"/>
    </row>
    <row r="3" ht="22.95" customHeight="1" spans="2:13">
      <c r="B3" s="13" t="s">
        <v>3</v>
      </c>
      <c r="C3" s="13" t="s">
        <v>4</v>
      </c>
      <c r="D3" s="13" t="s">
        <v>5</v>
      </c>
      <c r="E3" s="13" t="s">
        <v>6</v>
      </c>
      <c r="F3" s="13" t="s">
        <v>7</v>
      </c>
      <c r="G3" s="13" t="s">
        <v>8</v>
      </c>
      <c r="H3" s="13" t="s">
        <v>9</v>
      </c>
      <c r="K3" s="17" t="s">
        <v>10</v>
      </c>
      <c r="L3" s="17" t="s">
        <v>11</v>
      </c>
      <c r="M3" s="18" t="s">
        <v>12</v>
      </c>
    </row>
    <row r="4" ht="25.95" customHeight="1" spans="1:13">
      <c r="A4" s="14"/>
      <c r="B4" s="15">
        <f t="shared" ref="B4:H5" si="0">INT(DATE($C$2,$F$2,0)/7)*7+COLUMN(A1)+7*(ROW(B1)-1)</f>
        <v>45536</v>
      </c>
      <c r="C4" s="15">
        <f t="shared" si="0"/>
        <v>45537</v>
      </c>
      <c r="D4" s="15">
        <f t="shared" si="0"/>
        <v>45538</v>
      </c>
      <c r="E4" s="15">
        <f t="shared" si="0"/>
        <v>45539</v>
      </c>
      <c r="F4" s="15">
        <f t="shared" si="0"/>
        <v>45540</v>
      </c>
      <c r="G4" s="15">
        <f t="shared" si="0"/>
        <v>45541</v>
      </c>
      <c r="H4" s="15">
        <f t="shared" si="0"/>
        <v>45542</v>
      </c>
      <c r="K4" s="22"/>
      <c r="L4" s="22"/>
      <c r="M4" s="22"/>
    </row>
    <row r="5" ht="25.95" customHeight="1" spans="2:13">
      <c r="B5" s="15">
        <f t="shared" si="0"/>
        <v>45543</v>
      </c>
      <c r="C5" s="15">
        <f t="shared" si="0"/>
        <v>45544</v>
      </c>
      <c r="D5" s="15">
        <f t="shared" si="0"/>
        <v>45545</v>
      </c>
      <c r="E5" s="15">
        <f t="shared" si="0"/>
        <v>45546</v>
      </c>
      <c r="F5" s="15">
        <f t="shared" si="0"/>
        <v>45547</v>
      </c>
      <c r="G5" s="15">
        <f t="shared" si="0"/>
        <v>45548</v>
      </c>
      <c r="H5" s="15">
        <f t="shared" si="0"/>
        <v>45549</v>
      </c>
      <c r="K5" s="22"/>
      <c r="L5" s="22"/>
      <c r="M5" s="22"/>
    </row>
    <row r="6" ht="25.95" customHeight="1" spans="2:13">
      <c r="B6" s="15">
        <f>INT(DATE($C$2,$F$2,0)/7)*7+COLUMN(A3)+7*(ROW(B3)-1)</f>
        <v>45550</v>
      </c>
      <c r="C6" s="15">
        <f t="shared" ref="C6:H6" si="1">INT(DATE($C$2,$F$2,0)/7)*7+COLUMN(B3)+7*(ROW(C3)-1)</f>
        <v>45551</v>
      </c>
      <c r="D6" s="15">
        <f t="shared" si="1"/>
        <v>45552</v>
      </c>
      <c r="E6" s="15">
        <f t="shared" si="1"/>
        <v>45553</v>
      </c>
      <c r="F6" s="15">
        <f t="shared" si="1"/>
        <v>45554</v>
      </c>
      <c r="G6" s="15">
        <f t="shared" si="1"/>
        <v>45555</v>
      </c>
      <c r="H6" s="15">
        <f t="shared" si="1"/>
        <v>45556</v>
      </c>
      <c r="K6" s="22"/>
      <c r="L6" s="22"/>
      <c r="M6" s="22"/>
    </row>
    <row r="7" ht="25.95" customHeight="1" spans="2:13">
      <c r="B7" s="15">
        <f>INT(DATE($C$2,$F$2,0)/7)*7+COLUMN(A4)+7*(ROW(B4)-1)</f>
        <v>45557</v>
      </c>
      <c r="C7" s="15">
        <f t="shared" ref="C7:H8" si="2">INT(DATE($C$2,$F$2,0)/7)*7+COLUMN(B4)+7*(ROW(C4)-1)</f>
        <v>45558</v>
      </c>
      <c r="D7" s="15">
        <f t="shared" si="2"/>
        <v>45559</v>
      </c>
      <c r="E7" s="15">
        <f t="shared" si="2"/>
        <v>45560</v>
      </c>
      <c r="F7" s="15">
        <f t="shared" si="2"/>
        <v>45561</v>
      </c>
      <c r="G7" s="15">
        <f t="shared" si="2"/>
        <v>45562</v>
      </c>
      <c r="H7" s="15">
        <f t="shared" si="2"/>
        <v>45563</v>
      </c>
      <c r="K7" s="22"/>
      <c r="L7" s="22"/>
      <c r="M7" s="22"/>
    </row>
    <row r="8" ht="25.95" customHeight="1" spans="2:13">
      <c r="B8" s="15">
        <f>INT(DATE($C$2,$F$2,0)/7)*7+COLUMN(A5)+7*(ROW(B5)-1)</f>
        <v>45564</v>
      </c>
      <c r="C8" s="15">
        <f t="shared" si="2"/>
        <v>45565</v>
      </c>
      <c r="D8" s="15">
        <f t="shared" si="2"/>
        <v>45566</v>
      </c>
      <c r="E8" s="15">
        <f t="shared" si="2"/>
        <v>45567</v>
      </c>
      <c r="F8" s="15">
        <f t="shared" si="2"/>
        <v>45568</v>
      </c>
      <c r="G8" s="15">
        <f t="shared" si="2"/>
        <v>45569</v>
      </c>
      <c r="H8" s="15">
        <f t="shared" si="2"/>
        <v>45570</v>
      </c>
      <c r="K8" s="33"/>
      <c r="L8" s="22"/>
      <c r="M8" s="22"/>
    </row>
    <row r="9" ht="37.05" customHeight="1" spans="2:13">
      <c r="B9" s="30" t="s">
        <v>13</v>
      </c>
      <c r="K9" s="34" t="s">
        <v>14</v>
      </c>
      <c r="L9" s="35"/>
      <c r="M9" s="27"/>
    </row>
    <row r="10" ht="25.95" customHeight="1" spans="2:13">
      <c r="B10" s="31" t="s">
        <v>15</v>
      </c>
      <c r="C10" s="31"/>
      <c r="D10" s="31"/>
      <c r="E10" s="31"/>
      <c r="F10" s="31"/>
      <c r="G10" s="31"/>
      <c r="H10" s="31"/>
      <c r="I10" s="36" t="s">
        <v>16</v>
      </c>
      <c r="J10" s="36"/>
      <c r="K10" s="37" t="s">
        <v>17</v>
      </c>
      <c r="L10" s="38"/>
      <c r="M10" s="39" t="s">
        <v>18</v>
      </c>
    </row>
    <row r="11" ht="25.95" customHeight="1" spans="2:13">
      <c r="B11" s="32"/>
      <c r="C11" s="32"/>
      <c r="D11" s="32"/>
      <c r="E11" s="32"/>
      <c r="F11" s="32"/>
      <c r="G11" s="32"/>
      <c r="H11" s="32"/>
      <c r="K11" s="40"/>
      <c r="L11" s="27"/>
      <c r="M11" s="22"/>
    </row>
    <row r="12" ht="25.95" customHeight="1" spans="2:13">
      <c r="B12" s="32"/>
      <c r="C12" s="32"/>
      <c r="D12" s="32"/>
      <c r="E12" s="32"/>
      <c r="F12" s="32"/>
      <c r="G12" s="32"/>
      <c r="H12" s="32"/>
      <c r="K12" s="40"/>
      <c r="L12" s="27"/>
      <c r="M12" s="22"/>
    </row>
    <row r="13" ht="25.95" customHeight="1" spans="2:13">
      <c r="B13" s="32"/>
      <c r="C13" s="32"/>
      <c r="D13" s="32"/>
      <c r="E13" s="32"/>
      <c r="F13" s="32"/>
      <c r="G13" s="32"/>
      <c r="H13" s="32"/>
      <c r="K13" s="40"/>
      <c r="L13" s="27"/>
      <c r="M13" s="22"/>
    </row>
    <row r="14" ht="25.95" customHeight="1" spans="2:13">
      <c r="B14" s="32"/>
      <c r="C14" s="32"/>
      <c r="D14" s="32"/>
      <c r="E14" s="32"/>
      <c r="F14" s="32"/>
      <c r="G14" s="32"/>
      <c r="H14" s="32"/>
      <c r="K14" s="40"/>
      <c r="L14" s="27"/>
      <c r="M14" s="22"/>
    </row>
    <row r="15" ht="25.95" customHeight="1" spans="2:13">
      <c r="B15" s="32"/>
      <c r="C15" s="32"/>
      <c r="D15" s="32"/>
      <c r="E15" s="32"/>
      <c r="F15" s="32"/>
      <c r="G15" s="32"/>
      <c r="H15" s="32"/>
      <c r="K15" s="40"/>
      <c r="L15" s="27"/>
      <c r="M15" s="22"/>
    </row>
    <row r="16" ht="25.95" customHeight="1" spans="2:13">
      <c r="B16" s="32"/>
      <c r="C16" s="32"/>
      <c r="D16" s="32"/>
      <c r="E16" s="32"/>
      <c r="F16" s="32"/>
      <c r="G16" s="32"/>
      <c r="H16" s="32"/>
      <c r="K16" s="40"/>
      <c r="L16" s="27"/>
      <c r="M16" s="22"/>
    </row>
    <row r="17" ht="25.95" customHeight="1" spans="2:13">
      <c r="B17" s="32"/>
      <c r="C17" s="32"/>
      <c r="D17" s="32"/>
      <c r="E17" s="32"/>
      <c r="F17" s="32"/>
      <c r="G17" s="32"/>
      <c r="H17" s="32"/>
      <c r="K17" s="40"/>
      <c r="L17" s="27"/>
      <c r="M17" s="22"/>
    </row>
    <row r="18" ht="25.95" customHeight="1" spans="2:13">
      <c r="B18" s="32"/>
      <c r="C18" s="32"/>
      <c r="D18" s="32"/>
      <c r="E18" s="32"/>
      <c r="F18" s="32"/>
      <c r="G18" s="32"/>
      <c r="H18" s="32"/>
      <c r="K18" s="40"/>
      <c r="L18" s="27"/>
      <c r="M18" s="22"/>
    </row>
    <row r="19" ht="25.95" customHeight="1" spans="2:13">
      <c r="B19" s="32"/>
      <c r="C19" s="32"/>
      <c r="D19" s="32"/>
      <c r="E19" s="32"/>
      <c r="F19" s="32"/>
      <c r="G19" s="32"/>
      <c r="H19" s="32"/>
      <c r="K19" s="40"/>
      <c r="L19" s="27"/>
      <c r="M19" s="22"/>
    </row>
    <row r="20" ht="25.95" customHeight="1" spans="2:13">
      <c r="B20" s="32"/>
      <c r="C20" s="32"/>
      <c r="D20" s="32"/>
      <c r="E20" s="32"/>
      <c r="F20" s="32"/>
      <c r="G20" s="32"/>
      <c r="H20" s="32"/>
      <c r="K20" s="40"/>
      <c r="L20" s="27"/>
      <c r="M20" s="22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A5" sqref="A5"/>
    </sheetView>
  </sheetViews>
  <sheetFormatPr defaultColWidth="9" defaultRowHeight="16.5"/>
  <cols>
    <col min="1" max="1" width="0.781818181818182" customWidth="1"/>
    <col min="2" max="2" width="4.44545454545455" style="7" customWidth="1"/>
    <col min="3" max="3" width="5" style="7" customWidth="1"/>
    <col min="4" max="4" width="4.55454545454545" style="7" customWidth="1"/>
    <col min="5" max="5" width="5.10909090909091" style="7" customWidth="1"/>
    <col min="6" max="6" width="5.33636363636364" style="7" customWidth="1"/>
    <col min="7" max="7" width="5" style="7" customWidth="1"/>
    <col min="8" max="8" width="4.78181818181818" style="7" customWidth="1"/>
    <col min="9" max="9" width="1" style="7" customWidth="1"/>
    <col min="10" max="10" width="10.4454545454545" style="8" customWidth="1"/>
    <col min="11" max="11" width="22.6636363636364" style="8" customWidth="1"/>
    <col min="12" max="42" width="3.44545454545455" style="7" customWidth="1"/>
  </cols>
  <sheetData>
    <row r="1" spans="10:42">
      <c r="J1" s="16" t="s">
        <v>19</v>
      </c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</row>
    <row r="2" ht="24" spans="2:42">
      <c r="B2" s="9"/>
      <c r="C2" s="10">
        <v>2024</v>
      </c>
      <c r="D2" s="10"/>
      <c r="E2" s="11" t="s">
        <v>1</v>
      </c>
      <c r="F2" s="12">
        <v>9</v>
      </c>
      <c r="G2" s="11" t="s">
        <v>2</v>
      </c>
      <c r="H2" s="11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</row>
    <row r="3" ht="22.95" customHeight="1" spans="2:42">
      <c r="B3" s="13" t="s">
        <v>3</v>
      </c>
      <c r="C3" s="13" t="s">
        <v>4</v>
      </c>
      <c r="D3" s="13" t="s">
        <v>5</v>
      </c>
      <c r="E3" s="13" t="s">
        <v>6</v>
      </c>
      <c r="F3" s="13" t="s">
        <v>7</v>
      </c>
      <c r="G3" s="13" t="s">
        <v>8</v>
      </c>
      <c r="H3" s="13" t="s">
        <v>9</v>
      </c>
      <c r="J3" s="17" t="s">
        <v>20</v>
      </c>
      <c r="K3" s="17" t="s">
        <v>21</v>
      </c>
      <c r="L3" s="18">
        <f>1</f>
        <v>1</v>
      </c>
      <c r="M3" s="18">
        <f t="shared" ref="M3:AP3" si="0">L3+1</f>
        <v>2</v>
      </c>
      <c r="N3" s="18">
        <f t="shared" si="0"/>
        <v>3</v>
      </c>
      <c r="O3" s="18">
        <f t="shared" si="0"/>
        <v>4</v>
      </c>
      <c r="P3" s="18">
        <f t="shared" si="0"/>
        <v>5</v>
      </c>
      <c r="Q3" s="18">
        <f t="shared" si="0"/>
        <v>6</v>
      </c>
      <c r="R3" s="18">
        <f t="shared" si="0"/>
        <v>7</v>
      </c>
      <c r="S3" s="18">
        <f t="shared" si="0"/>
        <v>8</v>
      </c>
      <c r="T3" s="18">
        <f t="shared" si="0"/>
        <v>9</v>
      </c>
      <c r="U3" s="18">
        <f t="shared" si="0"/>
        <v>10</v>
      </c>
      <c r="V3" s="18">
        <f t="shared" si="0"/>
        <v>11</v>
      </c>
      <c r="W3" s="18">
        <f t="shared" si="0"/>
        <v>12</v>
      </c>
      <c r="X3" s="18">
        <f t="shared" si="0"/>
        <v>13</v>
      </c>
      <c r="Y3" s="18">
        <f t="shared" si="0"/>
        <v>14</v>
      </c>
      <c r="Z3" s="18">
        <f t="shared" si="0"/>
        <v>15</v>
      </c>
      <c r="AA3" s="18">
        <f t="shared" si="0"/>
        <v>16</v>
      </c>
      <c r="AB3" s="18">
        <f t="shared" si="0"/>
        <v>17</v>
      </c>
      <c r="AC3" s="18">
        <f t="shared" si="0"/>
        <v>18</v>
      </c>
      <c r="AD3" s="18">
        <f t="shared" si="0"/>
        <v>19</v>
      </c>
      <c r="AE3" s="18">
        <f t="shared" si="0"/>
        <v>20</v>
      </c>
      <c r="AF3" s="18">
        <f t="shared" si="0"/>
        <v>21</v>
      </c>
      <c r="AG3" s="18">
        <f t="shared" si="0"/>
        <v>22</v>
      </c>
      <c r="AH3" s="18">
        <f t="shared" si="0"/>
        <v>23</v>
      </c>
      <c r="AI3" s="18">
        <f t="shared" si="0"/>
        <v>24</v>
      </c>
      <c r="AJ3" s="18">
        <f t="shared" si="0"/>
        <v>25</v>
      </c>
      <c r="AK3" s="18">
        <f t="shared" si="0"/>
        <v>26</v>
      </c>
      <c r="AL3" s="18">
        <f t="shared" si="0"/>
        <v>27</v>
      </c>
      <c r="AM3" s="18">
        <f t="shared" si="0"/>
        <v>28</v>
      </c>
      <c r="AN3" s="18">
        <f t="shared" si="0"/>
        <v>29</v>
      </c>
      <c r="AO3" s="18">
        <f t="shared" si="0"/>
        <v>30</v>
      </c>
      <c r="AP3" s="18">
        <f t="shared" si="0"/>
        <v>31</v>
      </c>
    </row>
    <row r="4" ht="28.05" customHeight="1" spans="1:42">
      <c r="A4" s="14"/>
      <c r="B4" s="15">
        <f t="shared" ref="B4:H9" si="1">INT(DATE($C$2,$F$2,0)/7)*7+COLUMN(A1)+7*(ROW(B1)-1)</f>
        <v>45536</v>
      </c>
      <c r="C4" s="15">
        <f t="shared" si="1"/>
        <v>45537</v>
      </c>
      <c r="D4" s="15">
        <f t="shared" si="1"/>
        <v>45538</v>
      </c>
      <c r="E4" s="15">
        <f t="shared" si="1"/>
        <v>45539</v>
      </c>
      <c r="F4" s="15">
        <f t="shared" si="1"/>
        <v>45540</v>
      </c>
      <c r="G4" s="15">
        <f t="shared" si="1"/>
        <v>45541</v>
      </c>
      <c r="H4" s="15">
        <f t="shared" si="1"/>
        <v>45542</v>
      </c>
      <c r="J4" s="19" t="s">
        <v>22</v>
      </c>
      <c r="K4" s="20" t="s">
        <v>23</v>
      </c>
      <c r="L4" s="20"/>
      <c r="M4" s="20"/>
      <c r="N4" s="20"/>
      <c r="O4" s="20"/>
      <c r="P4" s="20"/>
      <c r="Q4" s="20" t="s">
        <v>24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</row>
    <row r="5" ht="28.05" customHeight="1" spans="2:42">
      <c r="B5" s="15">
        <f t="shared" si="1"/>
        <v>45543</v>
      </c>
      <c r="C5" s="15">
        <f t="shared" si="1"/>
        <v>45544</v>
      </c>
      <c r="D5" s="15">
        <f t="shared" si="1"/>
        <v>45545</v>
      </c>
      <c r="E5" s="15">
        <f t="shared" si="1"/>
        <v>45546</v>
      </c>
      <c r="F5" s="15">
        <f t="shared" si="1"/>
        <v>45547</v>
      </c>
      <c r="G5" s="15">
        <f t="shared" si="1"/>
        <v>45548</v>
      </c>
      <c r="H5" s="15">
        <f t="shared" si="1"/>
        <v>45549</v>
      </c>
      <c r="J5" s="21"/>
      <c r="K5" s="20" t="s">
        <v>25</v>
      </c>
      <c r="L5" s="20"/>
      <c r="M5" s="20"/>
      <c r="N5" s="20"/>
      <c r="O5" s="20"/>
      <c r="P5" s="20"/>
      <c r="Q5" s="20" t="s">
        <v>24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</row>
    <row r="6" ht="28.05" customHeight="1" spans="2:42">
      <c r="B6" s="15">
        <f t="shared" si="1"/>
        <v>45550</v>
      </c>
      <c r="C6" s="15">
        <f t="shared" si="1"/>
        <v>45551</v>
      </c>
      <c r="D6" s="15">
        <f t="shared" si="1"/>
        <v>45552</v>
      </c>
      <c r="E6" s="15">
        <f t="shared" si="1"/>
        <v>45553</v>
      </c>
      <c r="F6" s="15">
        <f t="shared" si="1"/>
        <v>45554</v>
      </c>
      <c r="G6" s="15">
        <f t="shared" si="1"/>
        <v>45555</v>
      </c>
      <c r="H6" s="15">
        <f t="shared" si="1"/>
        <v>45556</v>
      </c>
      <c r="J6" s="21"/>
      <c r="K6" s="22" t="s">
        <v>26</v>
      </c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</row>
    <row r="7" ht="28.05" customHeight="1" spans="2:42">
      <c r="B7" s="15">
        <f t="shared" si="1"/>
        <v>45557</v>
      </c>
      <c r="C7" s="15">
        <f t="shared" si="1"/>
        <v>45558</v>
      </c>
      <c r="D7" s="15">
        <f t="shared" si="1"/>
        <v>45559</v>
      </c>
      <c r="E7" s="15">
        <f t="shared" si="1"/>
        <v>45560</v>
      </c>
      <c r="F7" s="15">
        <f t="shared" si="1"/>
        <v>45561</v>
      </c>
      <c r="G7" s="15">
        <f t="shared" si="1"/>
        <v>45562</v>
      </c>
      <c r="H7" s="15">
        <f t="shared" si="1"/>
        <v>45563</v>
      </c>
      <c r="J7" s="23"/>
      <c r="K7" s="24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</row>
    <row r="8" ht="28.05" customHeight="1" spans="2:42">
      <c r="B8" s="15">
        <f t="shared" si="1"/>
        <v>45564</v>
      </c>
      <c r="C8" s="15">
        <f t="shared" si="1"/>
        <v>45565</v>
      </c>
      <c r="D8" s="15">
        <f t="shared" si="1"/>
        <v>45566</v>
      </c>
      <c r="E8" s="15">
        <f t="shared" si="1"/>
        <v>45567</v>
      </c>
      <c r="F8" s="15">
        <f t="shared" si="1"/>
        <v>45568</v>
      </c>
      <c r="G8" s="15">
        <f t="shared" si="1"/>
        <v>45569</v>
      </c>
      <c r="H8" s="15">
        <f t="shared" si="1"/>
        <v>45570</v>
      </c>
      <c r="J8" s="20" t="s">
        <v>27</v>
      </c>
      <c r="K8" s="22" t="s">
        <v>28</v>
      </c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</row>
    <row r="9" ht="28.05" customHeight="1" spans="2:42">
      <c r="B9" s="15">
        <f t="shared" si="1"/>
        <v>45571</v>
      </c>
      <c r="C9" s="15">
        <f t="shared" si="1"/>
        <v>45572</v>
      </c>
      <c r="D9" s="15">
        <f t="shared" si="1"/>
        <v>45573</v>
      </c>
      <c r="E9" s="15">
        <f t="shared" si="1"/>
        <v>45574</v>
      </c>
      <c r="F9" s="15">
        <f t="shared" si="1"/>
        <v>45575</v>
      </c>
      <c r="G9" s="15">
        <f t="shared" si="1"/>
        <v>45576</v>
      </c>
      <c r="H9" s="15">
        <f t="shared" si="1"/>
        <v>45577</v>
      </c>
      <c r="J9" s="21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</row>
    <row r="10" ht="22.95" customHeight="1" spans="10:42">
      <c r="J10" s="21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</row>
    <row r="11" ht="22.95" customHeight="1" spans="10:42">
      <c r="J11" s="23"/>
      <c r="K11" s="26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</row>
    <row r="12" ht="22.95" customHeight="1" spans="10:42">
      <c r="J12" s="19" t="s">
        <v>29</v>
      </c>
      <c r="K12" s="27" t="s">
        <v>30</v>
      </c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</row>
    <row r="13" ht="22.95" customHeight="1" spans="10:42">
      <c r="J13" s="21"/>
      <c r="K13" s="27" t="s">
        <v>31</v>
      </c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</row>
    <row r="14" ht="22.95" customHeight="1" spans="10:42">
      <c r="J14" s="21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</row>
    <row r="15" ht="22.95" customHeight="1" spans="10:42">
      <c r="J15" s="23"/>
      <c r="K15" s="28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>
        <f t="shared" ref="AN15:AP15" si="2">COUNTIF(AN12:AN14,"√")</f>
        <v>0</v>
      </c>
      <c r="AO15" s="27">
        <f t="shared" si="2"/>
        <v>0</v>
      </c>
      <c r="AP15" s="27">
        <f t="shared" si="2"/>
        <v>0</v>
      </c>
    </row>
    <row r="16" ht="22.95" customHeight="1" spans="10:42">
      <c r="J16"/>
      <c r="K16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</row>
    <row r="17" ht="22.95" customHeight="1" spans="10:42">
      <c r="J17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>
        <v>0</v>
      </c>
      <c r="AN17" s="29"/>
      <c r="AO17" s="29"/>
      <c r="AP17" s="29"/>
    </row>
    <row r="18" ht="22.95" customHeight="1" spans="10:42">
      <c r="J18"/>
      <c r="K18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</row>
    <row r="19" ht="22.95" hidden="1" customHeight="1" spans="10:42">
      <c r="J19"/>
      <c r="K1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</row>
    <row r="20" ht="22.95" hidden="1" customHeight="1" spans="10:42">
      <c r="J20"/>
      <c r="K20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</row>
    <row r="21" ht="22.95" hidden="1" customHeight="1" spans="10:42">
      <c r="J21"/>
      <c r="K21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</row>
    <row r="22" ht="22.95" hidden="1" customHeight="1" spans="10:42">
      <c r="J22"/>
      <c r="K22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</row>
    <row r="23" ht="22.95" hidden="1" customHeight="1" spans="10:42">
      <c r="J23"/>
      <c r="K23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</row>
    <row r="24" ht="22.95" hidden="1" customHeight="1" spans="10:42">
      <c r="J24"/>
      <c r="K24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</row>
    <row r="25" ht="22.95" hidden="1" customHeight="1" spans="10:42">
      <c r="J25"/>
      <c r="K25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FD4"/>
  <sheetViews>
    <sheetView tabSelected="1" workbookViewId="0">
      <selection activeCell="C7" sqref="C7"/>
    </sheetView>
  </sheetViews>
  <sheetFormatPr defaultColWidth="8.72727272727273" defaultRowHeight="14" outlineLevelRow="3"/>
  <cols>
    <col min="1" max="1" width="4.63636363636364" customWidth="1"/>
    <col min="2" max="100" width="5.63636363636364" customWidth="1"/>
  </cols>
  <sheetData>
    <row r="1" s="4" customFormat="1" spans="1:1">
      <c r="A1" s="4" t="s">
        <v>32</v>
      </c>
    </row>
    <row r="2" spans="1:100">
      <c r="A2" s="5">
        <v>1</v>
      </c>
      <c r="B2" s="5">
        <v>2</v>
      </c>
      <c r="C2" s="5">
        <v>3</v>
      </c>
      <c r="D2" s="5">
        <v>4</v>
      </c>
      <c r="E2" s="5">
        <v>5</v>
      </c>
      <c r="F2" s="5">
        <v>6</v>
      </c>
      <c r="G2" s="5">
        <v>7</v>
      </c>
      <c r="H2" s="5">
        <v>8</v>
      </c>
      <c r="I2" s="5">
        <v>9</v>
      </c>
      <c r="J2" s="5">
        <v>10</v>
      </c>
      <c r="K2" s="5">
        <v>11</v>
      </c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35</v>
      </c>
      <c r="AJ2" s="5">
        <v>36</v>
      </c>
      <c r="AK2" s="5">
        <v>37</v>
      </c>
      <c r="AL2" s="5">
        <v>38</v>
      </c>
      <c r="AM2" s="5">
        <v>39</v>
      </c>
      <c r="AN2" s="5">
        <v>40</v>
      </c>
      <c r="AO2" s="5">
        <v>41</v>
      </c>
      <c r="AP2" s="5">
        <v>42</v>
      </c>
      <c r="AQ2" s="5">
        <v>43</v>
      </c>
      <c r="AR2" s="5">
        <v>44</v>
      </c>
      <c r="AS2" s="5">
        <v>45</v>
      </c>
      <c r="AT2" s="5">
        <v>46</v>
      </c>
      <c r="AU2" s="5">
        <v>47</v>
      </c>
      <c r="AV2" s="5">
        <v>48</v>
      </c>
      <c r="AW2" s="5">
        <v>49</v>
      </c>
      <c r="AX2" s="5">
        <v>50</v>
      </c>
      <c r="AY2" s="5">
        <v>51</v>
      </c>
      <c r="AZ2" s="5">
        <v>52</v>
      </c>
      <c r="BA2" s="5">
        <v>53</v>
      </c>
      <c r="BB2" s="5">
        <v>54</v>
      </c>
      <c r="BC2" s="5">
        <v>55</v>
      </c>
      <c r="BD2" s="5">
        <v>56</v>
      </c>
      <c r="BE2" s="5">
        <v>57</v>
      </c>
      <c r="BF2" s="5">
        <v>58</v>
      </c>
      <c r="BG2" s="5">
        <v>59</v>
      </c>
      <c r="BH2" s="5">
        <v>60</v>
      </c>
      <c r="BI2" s="5">
        <v>61</v>
      </c>
      <c r="BJ2" s="5">
        <v>62</v>
      </c>
      <c r="BK2" s="5">
        <v>63</v>
      </c>
      <c r="BL2" s="5">
        <v>64</v>
      </c>
      <c r="BM2" s="5">
        <v>65</v>
      </c>
      <c r="BN2" s="5">
        <v>66</v>
      </c>
      <c r="BO2" s="5">
        <v>67</v>
      </c>
      <c r="BP2" s="5">
        <v>68</v>
      </c>
      <c r="BQ2" s="5">
        <v>69</v>
      </c>
      <c r="BR2" s="5">
        <v>70</v>
      </c>
      <c r="BS2" s="5">
        <v>71</v>
      </c>
      <c r="BT2" s="5">
        <v>72</v>
      </c>
      <c r="BU2" s="5">
        <v>73</v>
      </c>
      <c r="BV2" s="5">
        <v>74</v>
      </c>
      <c r="BW2" s="5">
        <v>75</v>
      </c>
      <c r="BX2" s="5">
        <v>76</v>
      </c>
      <c r="BY2" s="5">
        <v>77</v>
      </c>
      <c r="BZ2" s="5">
        <v>78</v>
      </c>
      <c r="CA2" s="5">
        <v>79</v>
      </c>
      <c r="CB2" s="5">
        <v>80</v>
      </c>
      <c r="CC2" s="5">
        <v>81</v>
      </c>
      <c r="CD2" s="5">
        <v>82</v>
      </c>
      <c r="CE2" s="5">
        <v>83</v>
      </c>
      <c r="CF2" s="5">
        <v>84</v>
      </c>
      <c r="CG2" s="5">
        <v>85</v>
      </c>
      <c r="CH2" s="5">
        <v>86</v>
      </c>
      <c r="CI2" s="5">
        <v>87</v>
      </c>
      <c r="CJ2" s="5">
        <v>88</v>
      </c>
      <c r="CK2" s="5">
        <v>89</v>
      </c>
      <c r="CL2" s="5">
        <v>90</v>
      </c>
      <c r="CM2" s="5">
        <v>91</v>
      </c>
      <c r="CN2" s="5">
        <v>92</v>
      </c>
      <c r="CO2" s="5">
        <v>93</v>
      </c>
      <c r="CP2" s="5">
        <v>94</v>
      </c>
      <c r="CQ2" s="5">
        <v>95</v>
      </c>
      <c r="CR2" s="5">
        <v>96</v>
      </c>
      <c r="CS2" s="5">
        <v>97</v>
      </c>
      <c r="CT2" s="5">
        <v>98</v>
      </c>
      <c r="CU2" s="5">
        <v>99</v>
      </c>
      <c r="CV2" s="5">
        <v>100</v>
      </c>
    </row>
    <row r="3" spans="1:26">
      <c r="A3" t="s">
        <v>16</v>
      </c>
      <c r="B3"/>
      <c r="D3" s="6">
        <v>9.9</v>
      </c>
      <c r="E3" s="6">
        <v>10</v>
      </c>
      <c r="F3" s="6">
        <v>11</v>
      </c>
      <c r="G3" s="6">
        <v>12</v>
      </c>
      <c r="H3" s="6">
        <v>13</v>
      </c>
      <c r="I3" s="6">
        <v>14</v>
      </c>
      <c r="J3" s="6">
        <v>15</v>
      </c>
      <c r="K3" s="6">
        <v>16</v>
      </c>
      <c r="L3" s="6">
        <v>17</v>
      </c>
      <c r="M3" s="6">
        <v>18</v>
      </c>
      <c r="N3" s="6">
        <v>19</v>
      </c>
      <c r="O3" s="6">
        <v>20</v>
      </c>
      <c r="P3" s="6">
        <v>21</v>
      </c>
      <c r="Q3" s="6">
        <v>22</v>
      </c>
      <c r="R3" s="6">
        <v>23</v>
      </c>
      <c r="S3" s="6">
        <v>24</v>
      </c>
      <c r="T3" s="6">
        <v>25</v>
      </c>
      <c r="U3" s="6">
        <v>26</v>
      </c>
      <c r="V3" s="6">
        <v>27</v>
      </c>
      <c r="W3" s="6">
        <v>28</v>
      </c>
      <c r="X3" s="6">
        <v>29</v>
      </c>
      <c r="Y3" s="6">
        <v>30</v>
      </c>
      <c r="Z3" s="6"/>
    </row>
    <row r="4" spans="1:2">
      <c r="A4">
        <v>1.1</v>
      </c>
      <c r="B4">
        <v>1.1</v>
      </c>
    </row>
  </sheetData>
  <mergeCells count="1">
    <mergeCell ref="A1:XFD1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E2" sqref="E2"/>
    </sheetView>
  </sheetViews>
  <sheetFormatPr defaultColWidth="8.72727272727273" defaultRowHeight="14" outlineLevelRow="1" outlineLevelCol="4"/>
  <cols>
    <col min="1" max="1" width="12.7272727272727" customWidth="1"/>
    <col min="2" max="2" width="24.1818181818182" customWidth="1"/>
    <col min="3" max="3" width="18.2727272727273" customWidth="1"/>
    <col min="4" max="4" width="58.3636363636364" customWidth="1"/>
    <col min="5" max="5" width="44.0909090909091" customWidth="1"/>
  </cols>
  <sheetData>
    <row r="1" ht="30" customHeight="1" spans="1:4">
      <c r="A1" s="1" t="s">
        <v>33</v>
      </c>
      <c r="B1" s="1" t="s">
        <v>34</v>
      </c>
      <c r="C1" s="1" t="s">
        <v>35</v>
      </c>
      <c r="D1" s="1" t="s">
        <v>11</v>
      </c>
    </row>
    <row r="2" ht="70" spans="1:5">
      <c r="A2" t="s">
        <v>36</v>
      </c>
      <c r="B2" s="2" t="s">
        <v>37</v>
      </c>
      <c r="C2" t="s">
        <v>38</v>
      </c>
      <c r="D2" s="3" t="s">
        <v>39</v>
      </c>
      <c r="E2" s="3" t="s">
        <v>40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当日</vt:lpstr>
      <vt:lpstr>月度</vt:lpstr>
      <vt:lpstr>记忆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2024-09-09T01:50:31Z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2052-12.1.0.17827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