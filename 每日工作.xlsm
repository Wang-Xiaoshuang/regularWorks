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3250" windowHeight="7000"/>
  </bookViews>
  <sheets>
    <sheet name="当日" sheetId="1" r:id="rId1"/>
    <sheet name="月度" sheetId="2" r:id="rId2"/>
    <sheet name="记忆" sheetId="4" r:id="rId3"/>
    <sheet name="账户" sheetId="3" r:id="rId4"/>
  </sheets>
  <definedNames>
    <definedName name="_xlnm._FilterDatabase" localSheetId="0" hidden="1">当日!$I$9:$M$10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<sst xmlns="http://schemas.openxmlformats.org/spreadsheetml/2006/main" count="56" uniqueCount="44">
  <si>
    <t>本日快捷清单</t>
  </si>
  <si>
    <t>年</t>
  </si>
  <si>
    <t>月</t>
  </si>
  <si>
    <t>日</t>
  </si>
  <si>
    <t>一</t>
  </si>
  <si>
    <t>二</t>
  </si>
  <si>
    <t>三</t>
  </si>
  <si>
    <t>四</t>
  </si>
  <si>
    <t>五</t>
  </si>
  <si>
    <t>六</t>
  </si>
  <si>
    <t>工作</t>
  </si>
  <si>
    <t>备注</t>
  </si>
  <si>
    <t>完成</t>
  </si>
  <si>
    <t>集草器清单</t>
  </si>
  <si>
    <t>本周目的</t>
  </si>
  <si>
    <t>目标-利益关系人</t>
  </si>
  <si>
    <t>日期</t>
  </si>
  <si>
    <t>工程</t>
  </si>
  <si>
    <t>交付日期</t>
  </si>
  <si>
    <t>目标表</t>
  </si>
  <si>
    <t>目标</t>
  </si>
  <si>
    <t>事项弹性</t>
  </si>
  <si>
    <t>主业</t>
  </si>
  <si>
    <t>20分钟看课</t>
  </si>
  <si>
    <t>√</t>
  </si>
  <si>
    <t>40分钟背诵默写</t>
  </si>
  <si>
    <t>换环境复习20分钟</t>
  </si>
  <si>
    <t>精力</t>
  </si>
  <si>
    <t>10:30放下手机</t>
  </si>
  <si>
    <t>理财</t>
  </si>
  <si>
    <t>研究选股加代码</t>
  </si>
  <si>
    <t>研究隔夜单</t>
  </si>
  <si>
    <r>
      <rPr>
        <sz val="11"/>
        <color theme="5" tint="-0.25"/>
        <rFont val="宋体"/>
        <charset val="134"/>
        <scheme val="minor"/>
      </rPr>
      <t>1、2、7、14、30、45、60、80、100天复习；   ||</t>
    </r>
    <r>
      <rPr>
        <sz val="11"/>
        <color theme="1"/>
        <rFont val="宋体"/>
        <charset val="134"/>
        <scheme val="minor"/>
      </rPr>
      <t xml:space="preserve">   </t>
    </r>
    <r>
      <rPr>
        <sz val="11"/>
        <color theme="2" tint="-0.25"/>
        <rFont val="宋体"/>
        <charset val="134"/>
        <scheme val="minor"/>
      </rPr>
      <t xml:space="preserve"> </t>
    </r>
    <r>
      <rPr>
        <sz val="11"/>
        <color theme="4" tint="-0.25"/>
        <rFont val="宋体"/>
        <charset val="134"/>
        <scheme val="minor"/>
      </rPr>
      <t>-1:1，-5:2，-13:3，-29:4，-44:5，-59:6，-79:7，-99:8</t>
    </r>
  </si>
  <si>
    <t>1.1-1</t>
  </si>
  <si>
    <t>1.1-2</t>
  </si>
  <si>
    <t>1.1-3</t>
  </si>
  <si>
    <t>账户</t>
  </si>
  <si>
    <t>用户名</t>
  </si>
  <si>
    <t>密码</t>
  </si>
  <si>
    <t>GitHub</t>
  </si>
  <si>
    <t>1325673143@qq.com</t>
  </si>
  <si>
    <t>wxs971115</t>
  </si>
  <si>
    <t>github 密钥
位置 C:\Users\Administrator\.ssh
将github公钥即github_rsa.pub中的内容配置到自己的github上</t>
  </si>
  <si>
    <t xml:space="preserve">
Wang-Xiaoshuang
git 
wxs
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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</si>
</sst>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dd"/>
    <numFmt numFmtId="177" formatCode="d"/>
  </numFmts>
  <fonts count="37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theme="5" tint="-0.25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微软雅黑"/>
      <charset val="134"/>
    </font>
    <font>
      <sz val="9"/>
      <color theme="1"/>
      <name val="微软雅黑"/>
      <charset val="134"/>
    </font>
    <font>
      <sz val="18"/>
      <color theme="1"/>
      <name val="微软雅黑"/>
      <charset val="134"/>
    </font>
    <font>
      <sz val="12"/>
      <color theme="1"/>
      <name val="微软雅黑"/>
      <charset val="134"/>
    </font>
    <font>
      <sz val="11"/>
      <color theme="4" tint="0.399914548173467"/>
      <name val="宋体"/>
      <charset val="134"/>
      <scheme val="minor"/>
    </font>
    <font>
      <b/>
      <sz val="14"/>
      <name val="微软雅黑"/>
      <charset val="134"/>
    </font>
    <font>
      <sz val="12"/>
      <color theme="0"/>
      <name val="微软雅黑"/>
      <charset val="134"/>
    </font>
    <font>
      <sz val="12"/>
      <name val="微软雅黑"/>
      <charset val="134"/>
    </font>
    <font>
      <b/>
      <sz val="14"/>
      <color theme="1"/>
      <name val="微软雅黑"/>
      <charset val="134"/>
    </font>
    <font>
      <sz val="11"/>
      <color theme="0"/>
      <name val="微软雅黑"/>
      <charset val="134"/>
    </font>
    <font>
      <strike/>
      <sz val="12"/>
      <name val="微软雅黑"/>
      <charset val="134"/>
    </font>
    <font>
      <sz val="11"/>
      <color theme="5"/>
      <name val="微软雅黑"/>
      <charset val="134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2" tint="-0.25"/>
      <name val="宋体"/>
      <charset val="134"/>
      <scheme val="minor"/>
    </font>
    <font>
      <sz val="11"/>
      <color theme="4" tint="-0.25"/>
      <name val="宋体"/>
      <charset val="134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2065187536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14548173467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0" tint="-0.049989318521683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9" borderId="9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0" applyNumberFormat="0" applyFill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0" borderId="12" applyNumberFormat="0" applyAlignment="0" applyProtection="0">
      <alignment vertical="center"/>
    </xf>
    <xf numFmtId="0" fontId="25" fillId="11" borderId="13" applyNumberFormat="0" applyAlignment="0" applyProtection="0">
      <alignment vertical="center"/>
    </xf>
    <xf numFmtId="0" fontId="26" fillId="11" borderId="12" applyNumberFormat="0" applyAlignment="0" applyProtection="0">
      <alignment vertical="center"/>
    </xf>
    <xf numFmtId="0" fontId="27" fillId="12" borderId="14" applyNumberFormat="0" applyAlignment="0" applyProtection="0">
      <alignment vertical="center"/>
    </xf>
    <xf numFmtId="0" fontId="28" fillId="0" borderId="15" applyNumberFormat="0" applyFill="0" applyAlignment="0" applyProtection="0">
      <alignment vertical="center"/>
    </xf>
    <xf numFmtId="0" fontId="29" fillId="0" borderId="16" applyNumberFormat="0" applyFill="0" applyAlignment="0" applyProtection="0">
      <alignment vertical="center"/>
    </xf>
    <xf numFmtId="0" fontId="30" fillId="13" borderId="0" applyNumberFormat="0" applyBorder="0" applyAlignment="0" applyProtection="0">
      <alignment vertical="center"/>
    </xf>
    <xf numFmtId="0" fontId="31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4" fillId="17" borderId="0" applyNumberFormat="0" applyBorder="0" applyAlignment="0" applyProtection="0">
      <alignment vertical="center"/>
    </xf>
    <xf numFmtId="0" fontId="34" fillId="18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3" borderId="0" applyNumberFormat="0" applyBorder="0" applyAlignment="0" applyProtection="0">
      <alignment vertical="center"/>
    </xf>
    <xf numFmtId="0" fontId="34" fillId="20" borderId="0" applyNumberFormat="0" applyBorder="0" applyAlignment="0" applyProtection="0">
      <alignment vertical="center"/>
    </xf>
    <xf numFmtId="0" fontId="34" fillId="21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4" fillId="24" borderId="0" applyNumberFormat="0" applyBorder="0" applyAlignment="0" applyProtection="0">
      <alignment vertical="center"/>
    </xf>
    <xf numFmtId="0" fontId="34" fillId="25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4" fillId="32" borderId="0" applyNumberFormat="0" applyBorder="0" applyAlignment="0" applyProtection="0">
      <alignment vertical="center"/>
    </xf>
    <xf numFmtId="0" fontId="34" fillId="6" borderId="0" applyNumberFormat="0" applyBorder="0" applyAlignment="0" applyProtection="0">
      <alignment vertical="center"/>
    </xf>
    <xf numFmtId="0" fontId="33" fillId="33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6" borderId="0" applyNumberFormat="0" applyBorder="0" applyAlignment="0" applyProtection="0">
      <alignment vertical="center"/>
    </xf>
    <xf numFmtId="0" fontId="33" fillId="37" borderId="0" applyNumberFormat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6">
      <alignment vertical="center"/>
    </xf>
    <xf numFmtId="0" fontId="0" fillId="0" borderId="0" xfId="0" applyAlignment="1">
      <alignment vertical="center" wrapText="1"/>
    </xf>
    <xf numFmtId="0" fontId="0" fillId="0" borderId="0" xfId="0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0" fontId="7" fillId="0" borderId="0" xfId="0" applyFont="1" applyAlignment="1">
      <alignment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176" fontId="8" fillId="4" borderId="2" xfId="0" applyNumberFormat="1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1" fillId="3" borderId="3" xfId="0" applyFont="1" applyFill="1" applyBorder="1" applyAlignment="1">
      <alignment horizontal="center" vertical="center"/>
    </xf>
    <xf numFmtId="177" fontId="11" fillId="3" borderId="3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12" fillId="7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left" vertical="center"/>
    </xf>
    <xf numFmtId="0" fontId="15" fillId="0" borderId="2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1" fillId="3" borderId="7" xfId="0" applyFont="1" applyFill="1" applyBorder="1" applyAlignment="1">
      <alignment horizontal="center" vertical="center" wrapText="1"/>
    </xf>
    <xf numFmtId="0" fontId="11" fillId="3" borderId="6" xfId="0" applyFont="1" applyFill="1" applyBorder="1" applyAlignment="1">
      <alignment horizontal="center" vertical="center" wrapText="1"/>
    </xf>
    <xf numFmtId="0" fontId="11" fillId="3" borderId="2" xfId="0" applyFont="1" applyFill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4"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7" tint="0.399945066682943"/>
        </patternFill>
      </fill>
    </dxf>
    <dxf>
      <font>
        <color theme="0"/>
      </font>
      <fill>
        <patternFill patternType="solid">
          <bgColor theme="5"/>
        </patternFill>
      </fill>
    </dxf>
    <dxf>
      <font>
        <color theme="0"/>
      </font>
    </dxf>
    <dxf>
      <numFmt numFmtId="178" formatCode=";;;"/>
    </dxf>
    <dxf>
      <font>
        <color theme="5" tint="0.799920651875362"/>
      </font>
      <fill>
        <patternFill patternType="solid">
          <bgColor theme="5" tint="0.799920651875362"/>
        </patternFill>
      </fill>
    </dxf>
    <dxf>
      <font>
        <color theme="8" tint="0.599993896298105"/>
      </font>
      <fill>
        <patternFill patternType="solid">
          <bgColor theme="8" tint="0.599993896298105"/>
        </patternFill>
      </fill>
    </dxf>
    <dxf>
      <font>
        <color theme="8" tint="0.399914548173467"/>
      </font>
      <fill>
        <patternFill patternType="solid">
          <bgColor theme="8" tint="0.399914548173467"/>
        </patternFill>
      </fill>
    </dxf>
  </dxfs>
  <tableStyles count="0" defaultTableStyle="TableStyleMedium2" defaultPivotStyle="PivotStyleLight16"/>
  <colors>
    <mruColors>
      <color rgb="007DAAAB"/>
      <color rgb="00696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表8_5" displayName="表8_5" ref="B3:H8" totalsRowShown="0">
  <tableColumns count="7">
    <tableColumn id="1" name="日" dataDxfId="0">
      <calculatedColumnFormula>INT(DATE($C$2,$F$2,0)/7)*7+COLUMN(A1)+7*(ROW(B1)-1)</calculatedColumnFormula>
    </tableColumn>
    <tableColumn id="2" name="一" dataDxfId="1">
      <calculatedColumnFormula>INT(DATE($C$2,$F$2,0)/7)*7+COLUMN(B1)+7*(ROW(C1)-1)</calculatedColumnFormula>
    </tableColumn>
    <tableColumn id="3" name="二" dataDxfId="2">
      <calculatedColumnFormula>INT(DATE($C$2,$F$2,0)/7)*7+COLUMN(C1)+7*(ROW(D1)-1)</calculatedColumnFormula>
    </tableColumn>
    <tableColumn id="4" name="三" dataDxfId="3">
      <calculatedColumnFormula>INT(DATE($C$2,$F$2,0)/7)*7+COLUMN(D1)+7*(ROW(E1)-1)</calculatedColumnFormula>
    </tableColumn>
    <tableColumn id="5" name="四" dataDxfId="4">
      <calculatedColumnFormula>INT(DATE($C$2,$F$2,0)/7)*7+COLUMN(E1)+7*(ROW(F1)-1)</calculatedColumnFormula>
    </tableColumn>
    <tableColumn id="6" name="五" dataDxfId="5">
      <calculatedColumnFormula>INT(DATE($C$2,$F$2,0)/7)*7+COLUMN(F1)+7*(ROW(G1)-1)</calculatedColumnFormula>
    </tableColumn>
    <tableColumn id="7" name="六" dataDxfId="6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表8_53" displayName="表8_53" ref="B3:H9" totalsRowShown="0">
  <tableColumns count="7">
    <tableColumn id="1" name="日">
      <calculatedColumnFormula>INT(DATE($C$2,$F$2,0)/7)*7+COLUMN(A1)+7*(ROW(B1)-1)</calculatedColumnFormula>
    </tableColumn>
    <tableColumn id="2" name="一">
      <calculatedColumnFormula>INT(DATE($C$2,$F$2,0)/7)*7+COLUMN(B1)+7*(ROW(C1)-1)</calculatedColumnFormula>
    </tableColumn>
    <tableColumn id="3" name="二">
      <calculatedColumnFormula>INT(DATE($C$2,$F$2,0)/7)*7+COLUMN(C1)+7*(ROW(D1)-1)</calculatedColumnFormula>
    </tableColumn>
    <tableColumn id="4" name="三">
      <calculatedColumnFormula>INT(DATE($C$2,$F$2,0)/7)*7+COLUMN(D1)+7*(ROW(E1)-1)</calculatedColumnFormula>
    </tableColumn>
    <tableColumn id="5" name="四">
      <calculatedColumnFormula>INT(DATE($C$2,$F$2,0)/7)*7+COLUMN(E1)+7*(ROW(F1)-1)</calculatedColumnFormula>
    </tableColumn>
    <tableColumn id="6" name="五">
      <calculatedColumnFormula>INT(DATE($C$2,$F$2,0)/7)*7+COLUMN(F1)+7*(ROW(G1)-1)</calculatedColumnFormula>
    </tableColumn>
    <tableColumn id="7" name="六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riel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1325673143@qq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0"/>
  <sheetViews>
    <sheetView showGridLines="0" showZeros="0" tabSelected="1" zoomScale="85" zoomScaleNormal="85" topLeftCell="A25" workbookViewId="0">
      <selection activeCell="K34" sqref="K34"/>
    </sheetView>
  </sheetViews>
  <sheetFormatPr defaultColWidth="9" defaultRowHeight="16.5"/>
  <cols>
    <col min="1" max="1" width="3.66363636363636" customWidth="1"/>
    <col min="2" max="8" width="5.10909090909091" style="8" customWidth="1"/>
    <col min="9" max="10" width="3.89090909090909" style="8" customWidth="1"/>
    <col min="11" max="11" width="46.4454545454545" style="9" customWidth="1"/>
    <col min="12" max="12" width="44.8909090909091" style="9" customWidth="1"/>
    <col min="13" max="13" width="11.7818181818182" style="8" customWidth="1"/>
  </cols>
  <sheetData>
    <row r="1" spans="11:13">
      <c r="K1" s="17" t="s">
        <v>0</v>
      </c>
      <c r="L1" s="17"/>
      <c r="M1" s="17"/>
    </row>
    <row r="2" ht="24" spans="2:13">
      <c r="B2" s="10"/>
      <c r="C2" s="11">
        <v>2024</v>
      </c>
      <c r="D2" s="11"/>
      <c r="E2" s="12" t="s">
        <v>1</v>
      </c>
      <c r="F2" s="13">
        <v>9</v>
      </c>
      <c r="G2" s="12" t="s">
        <v>2</v>
      </c>
      <c r="H2" s="12"/>
      <c r="K2" s="17"/>
      <c r="L2" s="17"/>
      <c r="M2" s="17"/>
    </row>
    <row r="3" ht="22.95" customHeight="1" spans="2:13">
      <c r="B3" s="14" t="s">
        <v>3</v>
      </c>
      <c r="C3" s="14" t="s">
        <v>4</v>
      </c>
      <c r="D3" s="14" t="s">
        <v>5</v>
      </c>
      <c r="E3" s="14" t="s">
        <v>6</v>
      </c>
      <c r="F3" s="14" t="s">
        <v>7</v>
      </c>
      <c r="G3" s="14" t="s">
        <v>8</v>
      </c>
      <c r="H3" s="14" t="s">
        <v>9</v>
      </c>
      <c r="K3" s="18" t="s">
        <v>10</v>
      </c>
      <c r="L3" s="18" t="s">
        <v>11</v>
      </c>
      <c r="M3" s="19" t="s">
        <v>12</v>
      </c>
    </row>
    <row r="4" ht="25.95" customHeight="1" spans="1:13">
      <c r="A4" s="15"/>
      <c r="B4" s="16">
        <f t="shared" ref="B4:H5" si="0">INT(DATE($C$2,$F$2,0)/7)*7+COLUMN(A1)+7*(ROW(B1)-1)</f>
        <v>45536</v>
      </c>
      <c r="C4" s="16">
        <f t="shared" si="0"/>
        <v>45537</v>
      </c>
      <c r="D4" s="16">
        <f t="shared" si="0"/>
        <v>45538</v>
      </c>
      <c r="E4" s="16">
        <f t="shared" si="0"/>
        <v>45539</v>
      </c>
      <c r="F4" s="16">
        <f t="shared" si="0"/>
        <v>45540</v>
      </c>
      <c r="G4" s="16">
        <f t="shared" si="0"/>
        <v>45541</v>
      </c>
      <c r="H4" s="16">
        <f t="shared" si="0"/>
        <v>45542</v>
      </c>
      <c r="K4" s="23"/>
      <c r="L4" s="23"/>
      <c r="M4" s="23"/>
    </row>
    <row r="5" ht="25.95" customHeight="1" spans="2:13">
      <c r="B5" s="16">
        <f t="shared" si="0"/>
        <v>45543</v>
      </c>
      <c r="C5" s="16">
        <f t="shared" si="0"/>
        <v>45544</v>
      </c>
      <c r="D5" s="16">
        <f t="shared" si="0"/>
        <v>45545</v>
      </c>
      <c r="E5" s="16">
        <f t="shared" si="0"/>
        <v>45546</v>
      </c>
      <c r="F5" s="16">
        <f t="shared" si="0"/>
        <v>45547</v>
      </c>
      <c r="G5" s="16">
        <f t="shared" si="0"/>
        <v>45548</v>
      </c>
      <c r="H5" s="16">
        <f t="shared" si="0"/>
        <v>45549</v>
      </c>
      <c r="K5" s="23"/>
      <c r="L5" s="23"/>
      <c r="M5" s="23"/>
    </row>
    <row r="6" ht="25.95" customHeight="1" spans="2:13">
      <c r="B6" s="16">
        <f>INT(DATE($C$2,$F$2,0)/7)*7+COLUMN(A3)+7*(ROW(B3)-1)</f>
        <v>45550</v>
      </c>
      <c r="C6" s="16">
        <f t="shared" ref="C6:H6" si="1">INT(DATE($C$2,$F$2,0)/7)*7+COLUMN(B3)+7*(ROW(C3)-1)</f>
        <v>45551</v>
      </c>
      <c r="D6" s="16">
        <f t="shared" si="1"/>
        <v>45552</v>
      </c>
      <c r="E6" s="16">
        <f t="shared" si="1"/>
        <v>45553</v>
      </c>
      <c r="F6" s="16">
        <f t="shared" si="1"/>
        <v>45554</v>
      </c>
      <c r="G6" s="16">
        <f t="shared" si="1"/>
        <v>45555</v>
      </c>
      <c r="H6" s="16">
        <f t="shared" si="1"/>
        <v>45556</v>
      </c>
      <c r="K6" s="23"/>
      <c r="L6" s="23"/>
      <c r="M6" s="23"/>
    </row>
    <row r="7" ht="25.95" customHeight="1" spans="2:13">
      <c r="B7" s="16">
        <f>INT(DATE($C$2,$F$2,0)/7)*7+COLUMN(A4)+7*(ROW(B4)-1)</f>
        <v>45557</v>
      </c>
      <c r="C7" s="16">
        <f t="shared" ref="C7:H8" si="2">INT(DATE($C$2,$F$2,0)/7)*7+COLUMN(B4)+7*(ROW(C4)-1)</f>
        <v>45558</v>
      </c>
      <c r="D7" s="16">
        <f t="shared" si="2"/>
        <v>45559</v>
      </c>
      <c r="E7" s="16">
        <f t="shared" si="2"/>
        <v>45560</v>
      </c>
      <c r="F7" s="16">
        <f t="shared" si="2"/>
        <v>45561</v>
      </c>
      <c r="G7" s="16">
        <f t="shared" si="2"/>
        <v>45562</v>
      </c>
      <c r="H7" s="16">
        <f t="shared" si="2"/>
        <v>45563</v>
      </c>
      <c r="K7" s="23"/>
      <c r="L7" s="23"/>
      <c r="M7" s="23"/>
    </row>
    <row r="8" ht="25.95" customHeight="1" spans="2:13">
      <c r="B8" s="16">
        <f>INT(DATE($C$2,$F$2,0)/7)*7+COLUMN(A5)+7*(ROW(B5)-1)</f>
        <v>45564</v>
      </c>
      <c r="C8" s="16">
        <f t="shared" si="2"/>
        <v>45565</v>
      </c>
      <c r="D8" s="16">
        <f t="shared" si="2"/>
        <v>45566</v>
      </c>
      <c r="E8" s="16">
        <f t="shared" si="2"/>
        <v>45567</v>
      </c>
      <c r="F8" s="16">
        <f t="shared" si="2"/>
        <v>45568</v>
      </c>
      <c r="G8" s="16">
        <f t="shared" si="2"/>
        <v>45569</v>
      </c>
      <c r="H8" s="16">
        <f t="shared" si="2"/>
        <v>45570</v>
      </c>
      <c r="K8" s="34"/>
      <c r="L8" s="23"/>
      <c r="M8" s="23"/>
    </row>
    <row r="9" ht="37.05" customHeight="1" spans="2:13">
      <c r="B9" s="31" t="s">
        <v>13</v>
      </c>
      <c r="K9" s="35" t="s">
        <v>14</v>
      </c>
      <c r="L9" s="36"/>
      <c r="M9" s="28"/>
    </row>
    <row r="10" ht="25.95" customHeight="1" spans="2:13">
      <c r="B10" s="32" t="s">
        <v>15</v>
      </c>
      <c r="C10" s="32"/>
      <c r="D10" s="32"/>
      <c r="E10" s="32"/>
      <c r="F10" s="32"/>
      <c r="G10" s="32"/>
      <c r="H10" s="32"/>
      <c r="I10" s="37" t="s">
        <v>16</v>
      </c>
      <c r="J10" s="37"/>
      <c r="K10" s="38" t="s">
        <v>17</v>
      </c>
      <c r="L10" s="39"/>
      <c r="M10" s="40" t="s">
        <v>18</v>
      </c>
    </row>
    <row r="11" ht="25.95" customHeight="1" spans="2:13">
      <c r="B11" s="33"/>
      <c r="C11" s="33"/>
      <c r="D11" s="33"/>
      <c r="E11" s="33"/>
      <c r="F11" s="33"/>
      <c r="G11" s="33"/>
      <c r="H11" s="33"/>
      <c r="K11" s="41"/>
      <c r="L11" s="28"/>
      <c r="M11" s="23"/>
    </row>
    <row r="12" ht="25.95" customHeight="1" spans="2:13">
      <c r="B12" s="33"/>
      <c r="C12" s="33"/>
      <c r="D12" s="33"/>
      <c r="E12" s="33"/>
      <c r="F12" s="33"/>
      <c r="G12" s="33"/>
      <c r="H12" s="33"/>
      <c r="K12" s="41"/>
      <c r="L12" s="28"/>
      <c r="M12" s="23"/>
    </row>
    <row r="13" ht="25.95" customHeight="1" spans="2:13">
      <c r="B13" s="33"/>
      <c r="C13" s="33"/>
      <c r="D13" s="33"/>
      <c r="E13" s="33"/>
      <c r="F13" s="33"/>
      <c r="G13" s="33"/>
      <c r="H13" s="33"/>
      <c r="K13" s="41"/>
      <c r="L13" s="28"/>
      <c r="M13" s="23"/>
    </row>
    <row r="14" ht="25.95" customHeight="1" spans="2:13">
      <c r="B14" s="33"/>
      <c r="C14" s="33"/>
      <c r="D14" s="33"/>
      <c r="E14" s="33"/>
      <c r="F14" s="33"/>
      <c r="G14" s="33"/>
      <c r="H14" s="33"/>
      <c r="K14" s="41"/>
      <c r="L14" s="28"/>
      <c r="M14" s="23"/>
    </row>
    <row r="15" ht="25.95" customHeight="1" spans="2:13">
      <c r="B15" s="33"/>
      <c r="C15" s="33"/>
      <c r="D15" s="33"/>
      <c r="E15" s="33"/>
      <c r="F15" s="33"/>
      <c r="G15" s="33"/>
      <c r="H15" s="33"/>
      <c r="K15" s="41"/>
      <c r="L15" s="28"/>
      <c r="M15" s="23"/>
    </row>
    <row r="16" ht="25.95" customHeight="1" spans="2:13">
      <c r="B16" s="33"/>
      <c r="C16" s="33"/>
      <c r="D16" s="33"/>
      <c r="E16" s="33"/>
      <c r="F16" s="33"/>
      <c r="G16" s="33"/>
      <c r="H16" s="33"/>
      <c r="K16" s="41"/>
      <c r="L16" s="28"/>
      <c r="M16" s="23"/>
    </row>
    <row r="17" ht="25.95" customHeight="1" spans="2:13">
      <c r="B17" s="33"/>
      <c r="C17" s="33"/>
      <c r="D17" s="33"/>
      <c r="E17" s="33"/>
      <c r="F17" s="33"/>
      <c r="G17" s="33"/>
      <c r="H17" s="33"/>
      <c r="K17" s="41"/>
      <c r="L17" s="28"/>
      <c r="M17" s="23"/>
    </row>
    <row r="18" ht="25.95" customHeight="1" spans="2:13">
      <c r="B18" s="33"/>
      <c r="C18" s="33"/>
      <c r="D18" s="33"/>
      <c r="E18" s="33"/>
      <c r="F18" s="33"/>
      <c r="G18" s="33"/>
      <c r="H18" s="33"/>
      <c r="K18" s="41"/>
      <c r="L18" s="28"/>
      <c r="M18" s="23"/>
    </row>
    <row r="19" ht="25.95" customHeight="1" spans="2:13">
      <c r="B19" s="33"/>
      <c r="C19" s="33"/>
      <c r="D19" s="33"/>
      <c r="E19" s="33"/>
      <c r="F19" s="33"/>
      <c r="G19" s="33"/>
      <c r="H19" s="33"/>
      <c r="K19" s="41"/>
      <c r="L19" s="28"/>
      <c r="M19" s="23"/>
    </row>
    <row r="20" ht="25.95" customHeight="1" spans="2:13">
      <c r="B20" s="33"/>
      <c r="C20" s="33"/>
      <c r="D20" s="33"/>
      <c r="E20" s="33"/>
      <c r="F20" s="33"/>
      <c r="G20" s="33"/>
      <c r="H20" s="33"/>
      <c r="K20" s="41"/>
      <c r="L20" s="28"/>
      <c r="M20" s="23"/>
    </row>
  </sheetData>
  <sortState ref="K4:K8">
    <sortCondition ref="K4:K8" descending="1"/>
  </sortState>
  <mergeCells count="37">
    <mergeCell ref="C2:D2"/>
    <mergeCell ref="B9:H9"/>
    <mergeCell ref="K9:M9"/>
    <mergeCell ref="B10:H10"/>
    <mergeCell ref="I10:J10"/>
    <mergeCell ref="K10:L10"/>
    <mergeCell ref="B11:H11"/>
    <mergeCell ref="I11:J11"/>
    <mergeCell ref="K11:L11"/>
    <mergeCell ref="B12:H12"/>
    <mergeCell ref="I12:J12"/>
    <mergeCell ref="K12:L12"/>
    <mergeCell ref="B13:H13"/>
    <mergeCell ref="I13:J13"/>
    <mergeCell ref="K13:L13"/>
    <mergeCell ref="B14:H14"/>
    <mergeCell ref="I14:J14"/>
    <mergeCell ref="K14:L14"/>
    <mergeCell ref="B15:H15"/>
    <mergeCell ref="I15:J15"/>
    <mergeCell ref="K15:L15"/>
    <mergeCell ref="B16:H16"/>
    <mergeCell ref="I16:J16"/>
    <mergeCell ref="K16:L16"/>
    <mergeCell ref="B17:H17"/>
    <mergeCell ref="I17:J17"/>
    <mergeCell ref="K17:L17"/>
    <mergeCell ref="B18:H18"/>
    <mergeCell ref="I18:J18"/>
    <mergeCell ref="K18:L18"/>
    <mergeCell ref="B19:H19"/>
    <mergeCell ref="I19:J19"/>
    <mergeCell ref="K19:L19"/>
    <mergeCell ref="B20:H20"/>
    <mergeCell ref="I20:J20"/>
    <mergeCell ref="K20:L20"/>
    <mergeCell ref="K1:M2"/>
  </mergeCells>
  <conditionalFormatting sqref="M3">
    <cfRule type="cellIs" dxfId="7" priority="1" operator="equal">
      <formula>DAY(TODAY())</formula>
    </cfRule>
  </conditionalFormatting>
  <conditionalFormatting sqref="B4:I8">
    <cfRule type="cellIs" dxfId="8" priority="22" operator="equal">
      <formula>TODAY()</formula>
    </cfRule>
    <cfRule type="expression" dxfId="9" priority="33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P33"/>
  <sheetViews>
    <sheetView showGridLines="0" showZeros="0" zoomScale="85" zoomScaleNormal="85" workbookViewId="0">
      <selection activeCell="A5" sqref="A5"/>
    </sheetView>
  </sheetViews>
  <sheetFormatPr defaultColWidth="9" defaultRowHeight="16.5"/>
  <cols>
    <col min="1" max="1" width="0.781818181818182" customWidth="1"/>
    <col min="2" max="2" width="4.44545454545455" style="8" customWidth="1"/>
    <col min="3" max="3" width="5" style="8" customWidth="1"/>
    <col min="4" max="4" width="4.55454545454545" style="8" customWidth="1"/>
    <col min="5" max="5" width="5.10909090909091" style="8" customWidth="1"/>
    <col min="6" max="6" width="5.33636363636364" style="8" customWidth="1"/>
    <col min="7" max="7" width="5" style="8" customWidth="1"/>
    <col min="8" max="8" width="4.78181818181818" style="8" customWidth="1"/>
    <col min="9" max="9" width="1" style="8" customWidth="1"/>
    <col min="10" max="10" width="10.4454545454545" style="9" customWidth="1"/>
    <col min="11" max="11" width="22.6636363636364" style="9" customWidth="1"/>
    <col min="12" max="42" width="3.44545454545455" style="8" customWidth="1"/>
  </cols>
  <sheetData>
    <row r="1" spans="10:42">
      <c r="J1" s="17" t="s">
        <v>19</v>
      </c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</row>
    <row r="2" ht="24" spans="2:42">
      <c r="B2" s="10"/>
      <c r="C2" s="11">
        <v>2024</v>
      </c>
      <c r="D2" s="11"/>
      <c r="E2" s="12" t="s">
        <v>1</v>
      </c>
      <c r="F2" s="13">
        <v>9</v>
      </c>
      <c r="G2" s="12" t="s">
        <v>2</v>
      </c>
      <c r="H2" s="12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</row>
    <row r="3" ht="22.95" customHeight="1" spans="2:42">
      <c r="B3" s="14" t="s">
        <v>3</v>
      </c>
      <c r="C3" s="14" t="s">
        <v>4</v>
      </c>
      <c r="D3" s="14" t="s">
        <v>5</v>
      </c>
      <c r="E3" s="14" t="s">
        <v>6</v>
      </c>
      <c r="F3" s="14" t="s">
        <v>7</v>
      </c>
      <c r="G3" s="14" t="s">
        <v>8</v>
      </c>
      <c r="H3" s="14" t="s">
        <v>9</v>
      </c>
      <c r="J3" s="18" t="s">
        <v>20</v>
      </c>
      <c r="K3" s="18" t="s">
        <v>21</v>
      </c>
      <c r="L3" s="19">
        <f>1</f>
        <v>1</v>
      </c>
      <c r="M3" s="19">
        <f t="shared" ref="M3:AP3" si="0">L3+1</f>
        <v>2</v>
      </c>
      <c r="N3" s="19">
        <f t="shared" si="0"/>
        <v>3</v>
      </c>
      <c r="O3" s="19">
        <f t="shared" si="0"/>
        <v>4</v>
      </c>
      <c r="P3" s="19">
        <f t="shared" si="0"/>
        <v>5</v>
      </c>
      <c r="Q3" s="19">
        <f t="shared" si="0"/>
        <v>6</v>
      </c>
      <c r="R3" s="19">
        <f t="shared" si="0"/>
        <v>7</v>
      </c>
      <c r="S3" s="19">
        <f t="shared" si="0"/>
        <v>8</v>
      </c>
      <c r="T3" s="19">
        <f t="shared" si="0"/>
        <v>9</v>
      </c>
      <c r="U3" s="19">
        <f t="shared" si="0"/>
        <v>10</v>
      </c>
      <c r="V3" s="19">
        <f t="shared" si="0"/>
        <v>11</v>
      </c>
      <c r="W3" s="19">
        <f t="shared" si="0"/>
        <v>12</v>
      </c>
      <c r="X3" s="19">
        <f t="shared" si="0"/>
        <v>13</v>
      </c>
      <c r="Y3" s="19">
        <f t="shared" si="0"/>
        <v>14</v>
      </c>
      <c r="Z3" s="19">
        <f t="shared" si="0"/>
        <v>15</v>
      </c>
      <c r="AA3" s="19">
        <f t="shared" si="0"/>
        <v>16</v>
      </c>
      <c r="AB3" s="19">
        <f t="shared" si="0"/>
        <v>17</v>
      </c>
      <c r="AC3" s="19">
        <f t="shared" si="0"/>
        <v>18</v>
      </c>
      <c r="AD3" s="19">
        <f t="shared" si="0"/>
        <v>19</v>
      </c>
      <c r="AE3" s="19">
        <f t="shared" si="0"/>
        <v>20</v>
      </c>
      <c r="AF3" s="19">
        <f t="shared" si="0"/>
        <v>21</v>
      </c>
      <c r="AG3" s="19">
        <f t="shared" si="0"/>
        <v>22</v>
      </c>
      <c r="AH3" s="19">
        <f t="shared" si="0"/>
        <v>23</v>
      </c>
      <c r="AI3" s="19">
        <f t="shared" si="0"/>
        <v>24</v>
      </c>
      <c r="AJ3" s="19">
        <f t="shared" si="0"/>
        <v>25</v>
      </c>
      <c r="AK3" s="19">
        <f t="shared" si="0"/>
        <v>26</v>
      </c>
      <c r="AL3" s="19">
        <f t="shared" si="0"/>
        <v>27</v>
      </c>
      <c r="AM3" s="19">
        <f t="shared" si="0"/>
        <v>28</v>
      </c>
      <c r="AN3" s="19">
        <f t="shared" si="0"/>
        <v>29</v>
      </c>
      <c r="AO3" s="19">
        <f t="shared" si="0"/>
        <v>30</v>
      </c>
      <c r="AP3" s="19">
        <f t="shared" si="0"/>
        <v>31</v>
      </c>
    </row>
    <row r="4" ht="28.05" customHeight="1" spans="1:42">
      <c r="A4" s="15"/>
      <c r="B4" s="16">
        <f t="shared" ref="B4:H9" si="1">INT(DATE($C$2,$F$2,0)/7)*7+COLUMN(A1)+7*(ROW(B1)-1)</f>
        <v>45536</v>
      </c>
      <c r="C4" s="16">
        <f t="shared" si="1"/>
        <v>45537</v>
      </c>
      <c r="D4" s="16">
        <f t="shared" si="1"/>
        <v>45538</v>
      </c>
      <c r="E4" s="16">
        <f t="shared" si="1"/>
        <v>45539</v>
      </c>
      <c r="F4" s="16">
        <f t="shared" si="1"/>
        <v>45540</v>
      </c>
      <c r="G4" s="16">
        <f t="shared" si="1"/>
        <v>45541</v>
      </c>
      <c r="H4" s="16">
        <f t="shared" si="1"/>
        <v>45542</v>
      </c>
      <c r="J4" s="20" t="s">
        <v>22</v>
      </c>
      <c r="K4" s="21" t="s">
        <v>23</v>
      </c>
      <c r="L4" s="21"/>
      <c r="M4" s="21"/>
      <c r="N4" s="21"/>
      <c r="O4" s="21"/>
      <c r="P4" s="21"/>
      <c r="Q4" s="21" t="s">
        <v>24</v>
      </c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</row>
    <row r="5" ht="28.05" customHeight="1" spans="2:42">
      <c r="B5" s="16">
        <f t="shared" si="1"/>
        <v>45543</v>
      </c>
      <c r="C5" s="16">
        <f t="shared" si="1"/>
        <v>45544</v>
      </c>
      <c r="D5" s="16">
        <f t="shared" si="1"/>
        <v>45545</v>
      </c>
      <c r="E5" s="16">
        <f t="shared" si="1"/>
        <v>45546</v>
      </c>
      <c r="F5" s="16">
        <f t="shared" si="1"/>
        <v>45547</v>
      </c>
      <c r="G5" s="16">
        <f t="shared" si="1"/>
        <v>45548</v>
      </c>
      <c r="H5" s="16">
        <f t="shared" si="1"/>
        <v>45549</v>
      </c>
      <c r="J5" s="22"/>
      <c r="K5" s="21" t="s">
        <v>25</v>
      </c>
      <c r="L5" s="21"/>
      <c r="M5" s="21"/>
      <c r="N5" s="21"/>
      <c r="O5" s="21"/>
      <c r="P5" s="21"/>
      <c r="Q5" s="21" t="s">
        <v>24</v>
      </c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</row>
    <row r="6" ht="28.05" customHeight="1" spans="2:42">
      <c r="B6" s="16">
        <f t="shared" si="1"/>
        <v>45550</v>
      </c>
      <c r="C6" s="16">
        <f t="shared" si="1"/>
        <v>45551</v>
      </c>
      <c r="D6" s="16">
        <f t="shared" si="1"/>
        <v>45552</v>
      </c>
      <c r="E6" s="16">
        <f t="shared" si="1"/>
        <v>45553</v>
      </c>
      <c r="F6" s="16">
        <f t="shared" si="1"/>
        <v>45554</v>
      </c>
      <c r="G6" s="16">
        <f t="shared" si="1"/>
        <v>45555</v>
      </c>
      <c r="H6" s="16">
        <f t="shared" si="1"/>
        <v>45556</v>
      </c>
      <c r="J6" s="22"/>
      <c r="K6" s="23" t="s">
        <v>26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</row>
    <row r="7" ht="28.05" customHeight="1" spans="2:42">
      <c r="B7" s="16">
        <f t="shared" si="1"/>
        <v>45557</v>
      </c>
      <c r="C7" s="16">
        <f t="shared" si="1"/>
        <v>45558</v>
      </c>
      <c r="D7" s="16">
        <f t="shared" si="1"/>
        <v>45559</v>
      </c>
      <c r="E7" s="16">
        <f t="shared" si="1"/>
        <v>45560</v>
      </c>
      <c r="F7" s="16">
        <f t="shared" si="1"/>
        <v>45561</v>
      </c>
      <c r="G7" s="16">
        <f t="shared" si="1"/>
        <v>45562</v>
      </c>
      <c r="H7" s="16">
        <f t="shared" si="1"/>
        <v>45563</v>
      </c>
      <c r="J7" s="24"/>
      <c r="K7" s="25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</row>
    <row r="8" ht="28.05" customHeight="1" spans="2:42">
      <c r="B8" s="16">
        <f t="shared" si="1"/>
        <v>45564</v>
      </c>
      <c r="C8" s="16">
        <f t="shared" si="1"/>
        <v>45565</v>
      </c>
      <c r="D8" s="16">
        <f t="shared" si="1"/>
        <v>45566</v>
      </c>
      <c r="E8" s="16">
        <f t="shared" si="1"/>
        <v>45567</v>
      </c>
      <c r="F8" s="16">
        <f t="shared" si="1"/>
        <v>45568</v>
      </c>
      <c r="G8" s="16">
        <f t="shared" si="1"/>
        <v>45569</v>
      </c>
      <c r="H8" s="16">
        <f t="shared" si="1"/>
        <v>45570</v>
      </c>
      <c r="J8" s="21" t="s">
        <v>27</v>
      </c>
      <c r="K8" s="23" t="s">
        <v>28</v>
      </c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</row>
    <row r="9" ht="28.05" customHeight="1" spans="2:42">
      <c r="B9" s="16">
        <f t="shared" si="1"/>
        <v>45571</v>
      </c>
      <c r="C9" s="16">
        <f t="shared" si="1"/>
        <v>45572</v>
      </c>
      <c r="D9" s="16">
        <f t="shared" si="1"/>
        <v>45573</v>
      </c>
      <c r="E9" s="16">
        <f t="shared" si="1"/>
        <v>45574</v>
      </c>
      <c r="F9" s="16">
        <f t="shared" si="1"/>
        <v>45575</v>
      </c>
      <c r="G9" s="16">
        <f t="shared" si="1"/>
        <v>45576</v>
      </c>
      <c r="H9" s="16">
        <f t="shared" si="1"/>
        <v>45577</v>
      </c>
      <c r="J9" s="22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</row>
    <row r="10" ht="22.95" customHeight="1" spans="10:42">
      <c r="J10" s="22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</row>
    <row r="11" ht="22.95" customHeight="1" spans="10:42">
      <c r="J11" s="24"/>
      <c r="K11" s="27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</row>
    <row r="12" ht="22.95" customHeight="1" spans="10:42">
      <c r="J12" s="20" t="s">
        <v>29</v>
      </c>
      <c r="K12" s="28" t="s">
        <v>30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</row>
    <row r="13" ht="22.95" customHeight="1" spans="10:42">
      <c r="J13" s="22"/>
      <c r="K13" s="28" t="s">
        <v>31</v>
      </c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</row>
    <row r="14" ht="22.95" customHeight="1" spans="10:42">
      <c r="J14" s="22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</row>
    <row r="15" ht="22.95" customHeight="1" spans="10:42">
      <c r="J15" s="24"/>
      <c r="K15" s="29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>
        <f t="shared" ref="AN15:AP15" si="2">COUNTIF(AN12:AN14,"√")</f>
        <v>0</v>
      </c>
      <c r="AO15" s="28">
        <f t="shared" si="2"/>
        <v>0</v>
      </c>
      <c r="AP15" s="28">
        <f t="shared" si="2"/>
        <v>0</v>
      </c>
    </row>
    <row r="16" ht="22.95" customHeight="1" spans="10:42">
      <c r="J16"/>
      <c r="K16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</row>
    <row r="17" ht="22.95" customHeight="1" spans="10:42">
      <c r="J17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>
        <v>0</v>
      </c>
      <c r="AN17" s="30"/>
      <c r="AO17" s="30"/>
      <c r="AP17" s="30"/>
    </row>
    <row r="18" ht="22.95" customHeight="1" spans="10:42">
      <c r="J18"/>
      <c r="K18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</row>
    <row r="19" ht="22.95" hidden="1" customHeight="1" spans="10:42">
      <c r="J19"/>
      <c r="K19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</row>
    <row r="20" ht="22.95" hidden="1" customHeight="1" spans="10:42">
      <c r="J20"/>
      <c r="K2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</row>
    <row r="21" ht="22.95" hidden="1" customHeight="1" spans="10:42">
      <c r="J21"/>
      <c r="K21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</row>
    <row r="22" ht="22.95" hidden="1" customHeight="1" spans="10:42">
      <c r="J22"/>
      <c r="K22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</row>
    <row r="23" ht="22.95" hidden="1" customHeight="1" spans="10:42">
      <c r="J23"/>
      <c r="K23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</row>
    <row r="24" ht="22.95" hidden="1" customHeight="1" spans="10:42">
      <c r="J24"/>
      <c r="K24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</row>
    <row r="25" ht="22.95" hidden="1" customHeight="1" spans="10:42">
      <c r="J25"/>
      <c r="K25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</row>
    <row r="26" ht="22.95" hidden="1" customHeight="1"/>
    <row r="27" ht="22.95" hidden="1" customHeight="1"/>
    <row r="28" ht="22.95" hidden="1" customHeight="1"/>
    <row r="29" ht="22.95" hidden="1" customHeight="1"/>
    <row r="30" ht="22.95" hidden="1" customHeight="1"/>
    <row r="31" ht="22.95" hidden="1" customHeight="1"/>
    <row r="32" ht="22.95" hidden="1" customHeight="1"/>
    <row r="33" ht="22.95" hidden="1" customHeight="1"/>
  </sheetData>
  <mergeCells count="6">
    <mergeCell ref="C2:D2"/>
    <mergeCell ref="K17:AC17"/>
    <mergeCell ref="J4:J7"/>
    <mergeCell ref="J8:J11"/>
    <mergeCell ref="J12:J15"/>
    <mergeCell ref="J1:AP2"/>
  </mergeCells>
  <conditionalFormatting sqref="L3:AP3">
    <cfRule type="cellIs" dxfId="7" priority="1" operator="equal">
      <formula>DAY(TODAY())</formula>
    </cfRule>
  </conditionalFormatting>
  <conditionalFormatting sqref="AN3:AP3">
    <cfRule type="expression" dxfId="10" priority="12">
      <formula>MONTH(AN3)&gt;MONTH(AK3)</formula>
    </cfRule>
  </conditionalFormatting>
  <conditionalFormatting sqref="L7:AP7">
    <cfRule type="expression" dxfId="11" priority="4">
      <formula>COUNTIF(L4:L6,"√")&gt;0</formula>
    </cfRule>
  </conditionalFormatting>
  <conditionalFormatting sqref="L11:AP11">
    <cfRule type="expression" dxfId="12" priority="3">
      <formula>COUNTIF(L8:L10,"√")&gt;0</formula>
    </cfRule>
  </conditionalFormatting>
  <conditionalFormatting sqref="L15:AP15">
    <cfRule type="expression" dxfId="13" priority="2">
      <formula>COUNTIF(L12:L14,"√")&gt;0</formula>
    </cfRule>
  </conditionalFormatting>
  <conditionalFormatting sqref="B4:H9">
    <cfRule type="cellIs" dxfId="8" priority="13" operator="equal">
      <formula>TODAY()</formula>
    </cfRule>
    <cfRule type="expression" dxfId="9" priority="14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XFD4"/>
  <sheetViews>
    <sheetView workbookViewId="0">
      <selection activeCell="M8" sqref="M8"/>
    </sheetView>
  </sheetViews>
  <sheetFormatPr defaultColWidth="8.72727272727273" defaultRowHeight="14" outlineLevelRow="3"/>
  <cols>
    <col min="1" max="100" width="7.63636363636364" customWidth="1"/>
  </cols>
  <sheetData>
    <row r="1" s="4" customFormat="1" spans="1:1">
      <c r="A1" s="5" t="s">
        <v>32</v>
      </c>
    </row>
    <row r="2" spans="1:100">
      <c r="A2" s="6">
        <v>1</v>
      </c>
      <c r="B2" s="6">
        <v>2</v>
      </c>
      <c r="C2" s="6">
        <v>3</v>
      </c>
      <c r="D2" s="6">
        <v>4</v>
      </c>
      <c r="E2" s="6">
        <v>5</v>
      </c>
      <c r="F2" s="6">
        <v>6</v>
      </c>
      <c r="G2" s="6">
        <v>7</v>
      </c>
      <c r="H2" s="6">
        <v>8</v>
      </c>
      <c r="I2" s="6">
        <v>9</v>
      </c>
      <c r="J2" s="6">
        <v>10</v>
      </c>
      <c r="K2" s="6">
        <v>11</v>
      </c>
      <c r="L2" s="6">
        <v>12</v>
      </c>
      <c r="M2" s="6">
        <v>13</v>
      </c>
      <c r="N2" s="6">
        <v>14</v>
      </c>
      <c r="O2" s="6">
        <v>15</v>
      </c>
      <c r="P2" s="6">
        <v>16</v>
      </c>
      <c r="Q2" s="6">
        <v>17</v>
      </c>
      <c r="R2" s="6">
        <v>18</v>
      </c>
      <c r="S2" s="6">
        <v>19</v>
      </c>
      <c r="T2" s="6">
        <v>20</v>
      </c>
      <c r="U2" s="6">
        <v>21</v>
      </c>
      <c r="V2" s="6">
        <v>22</v>
      </c>
      <c r="W2" s="6">
        <v>23</v>
      </c>
      <c r="X2" s="6">
        <v>24</v>
      </c>
      <c r="Y2" s="6">
        <v>25</v>
      </c>
      <c r="Z2" s="6">
        <v>26</v>
      </c>
      <c r="AA2" s="6">
        <v>27</v>
      </c>
      <c r="AB2" s="6">
        <v>28</v>
      </c>
      <c r="AC2" s="6">
        <v>29</v>
      </c>
      <c r="AD2" s="6">
        <v>30</v>
      </c>
      <c r="AE2" s="6">
        <v>31</v>
      </c>
      <c r="AF2" s="6">
        <v>32</v>
      </c>
      <c r="AG2" s="6">
        <v>33</v>
      </c>
      <c r="AH2" s="6">
        <v>34</v>
      </c>
      <c r="AI2" s="6">
        <v>35</v>
      </c>
      <c r="AJ2" s="6">
        <v>36</v>
      </c>
      <c r="AK2" s="6">
        <v>37</v>
      </c>
      <c r="AL2" s="6">
        <v>38</v>
      </c>
      <c r="AM2" s="6">
        <v>39</v>
      </c>
      <c r="AN2" s="6">
        <v>40</v>
      </c>
      <c r="AO2" s="6">
        <v>41</v>
      </c>
      <c r="AP2" s="6">
        <v>42</v>
      </c>
      <c r="AQ2" s="6">
        <v>43</v>
      </c>
      <c r="AR2" s="6">
        <v>44</v>
      </c>
      <c r="AS2" s="6">
        <v>45</v>
      </c>
      <c r="AT2" s="6">
        <v>46</v>
      </c>
      <c r="AU2" s="6">
        <v>47</v>
      </c>
      <c r="AV2" s="6">
        <v>48</v>
      </c>
      <c r="AW2" s="6">
        <v>49</v>
      </c>
      <c r="AX2" s="6">
        <v>50</v>
      </c>
      <c r="AY2" s="6">
        <v>51</v>
      </c>
      <c r="AZ2" s="6">
        <v>52</v>
      </c>
      <c r="BA2" s="6">
        <v>53</v>
      </c>
      <c r="BB2" s="6">
        <v>54</v>
      </c>
      <c r="BC2" s="6">
        <v>55</v>
      </c>
      <c r="BD2" s="6">
        <v>56</v>
      </c>
      <c r="BE2" s="6">
        <v>57</v>
      </c>
      <c r="BF2" s="6">
        <v>58</v>
      </c>
      <c r="BG2" s="6">
        <v>59</v>
      </c>
      <c r="BH2" s="6">
        <v>60</v>
      </c>
      <c r="BI2" s="6">
        <v>61</v>
      </c>
      <c r="BJ2" s="6">
        <v>62</v>
      </c>
      <c r="BK2" s="6">
        <v>63</v>
      </c>
      <c r="BL2" s="6">
        <v>64</v>
      </c>
      <c r="BM2" s="6">
        <v>65</v>
      </c>
      <c r="BN2" s="6">
        <v>66</v>
      </c>
      <c r="BO2" s="6">
        <v>67</v>
      </c>
      <c r="BP2" s="6">
        <v>68</v>
      </c>
      <c r="BQ2" s="6">
        <v>69</v>
      </c>
      <c r="BR2" s="6">
        <v>70</v>
      </c>
      <c r="BS2" s="6">
        <v>71</v>
      </c>
      <c r="BT2" s="6">
        <v>72</v>
      </c>
      <c r="BU2" s="6">
        <v>73</v>
      </c>
      <c r="BV2" s="6">
        <v>74</v>
      </c>
      <c r="BW2" s="6">
        <v>75</v>
      </c>
      <c r="BX2" s="6">
        <v>76</v>
      </c>
      <c r="BY2" s="6">
        <v>77</v>
      </c>
      <c r="BZ2" s="6">
        <v>78</v>
      </c>
      <c r="CA2" s="6">
        <v>79</v>
      </c>
      <c r="CB2" s="6">
        <v>80</v>
      </c>
      <c r="CC2" s="6">
        <v>81</v>
      </c>
      <c r="CD2" s="6">
        <v>82</v>
      </c>
      <c r="CE2" s="6">
        <v>83</v>
      </c>
      <c r="CF2" s="6">
        <v>84</v>
      </c>
      <c r="CG2" s="6">
        <v>85</v>
      </c>
      <c r="CH2" s="6">
        <v>86</v>
      </c>
      <c r="CI2" s="6">
        <v>87</v>
      </c>
      <c r="CJ2" s="6">
        <v>88</v>
      </c>
      <c r="CK2" s="6">
        <v>89</v>
      </c>
      <c r="CL2" s="6">
        <v>90</v>
      </c>
      <c r="CM2" s="6">
        <v>91</v>
      </c>
      <c r="CN2" s="6">
        <v>92</v>
      </c>
      <c r="CO2" s="6">
        <v>93</v>
      </c>
      <c r="CP2" s="6">
        <v>94</v>
      </c>
      <c r="CQ2" s="6">
        <v>95</v>
      </c>
      <c r="CR2" s="6">
        <v>96</v>
      </c>
      <c r="CS2" s="6">
        <v>97</v>
      </c>
      <c r="CT2" s="6">
        <v>98</v>
      </c>
      <c r="CU2" s="6">
        <v>99</v>
      </c>
      <c r="CV2" s="6">
        <v>100</v>
      </c>
    </row>
    <row r="3" spans="1:26">
      <c r="A3" t="s">
        <v>16</v>
      </c>
      <c r="B3"/>
      <c r="D3" s="7">
        <v>9.9</v>
      </c>
      <c r="E3" s="7">
        <v>10</v>
      </c>
      <c r="F3" s="7">
        <v>11</v>
      </c>
      <c r="G3" s="7">
        <v>12</v>
      </c>
      <c r="H3" s="7">
        <v>13</v>
      </c>
      <c r="I3" s="7">
        <v>14</v>
      </c>
      <c r="J3" s="7">
        <v>15</v>
      </c>
      <c r="K3" s="7">
        <v>16</v>
      </c>
      <c r="L3" s="7">
        <v>17</v>
      </c>
      <c r="M3" s="7">
        <v>18</v>
      </c>
      <c r="N3" s="7">
        <v>19</v>
      </c>
      <c r="O3" s="7">
        <v>20</v>
      </c>
      <c r="P3" s="7">
        <v>21</v>
      </c>
      <c r="Q3" s="7">
        <v>22</v>
      </c>
      <c r="R3" s="7">
        <v>23</v>
      </c>
      <c r="S3" s="7">
        <v>24</v>
      </c>
      <c r="T3" s="7">
        <v>25</v>
      </c>
      <c r="U3" s="7">
        <v>26</v>
      </c>
      <c r="V3" s="7">
        <v>27</v>
      </c>
      <c r="W3" s="7">
        <v>28</v>
      </c>
      <c r="X3" s="7">
        <v>29</v>
      </c>
      <c r="Y3" s="7">
        <v>30</v>
      </c>
      <c r="Z3" s="7"/>
    </row>
    <row r="4" spans="1:9">
      <c r="A4" t="s">
        <v>33</v>
      </c>
      <c r="B4" t="s">
        <v>34</v>
      </c>
      <c r="I4" t="s">
        <v>35</v>
      </c>
    </row>
  </sheetData>
  <mergeCells count="1">
    <mergeCell ref="A1:XFD1"/>
  </mergeCell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2"/>
  <sheetViews>
    <sheetView workbookViewId="0">
      <selection activeCell="E2" sqref="E2"/>
    </sheetView>
  </sheetViews>
  <sheetFormatPr defaultColWidth="8.72727272727273" defaultRowHeight="14" outlineLevelRow="1" outlineLevelCol="4"/>
  <cols>
    <col min="1" max="1" width="12.7272727272727" customWidth="1"/>
    <col min="2" max="2" width="24.1818181818182" customWidth="1"/>
    <col min="3" max="3" width="18.2727272727273" customWidth="1"/>
    <col min="4" max="4" width="58.3636363636364" customWidth="1"/>
    <col min="5" max="5" width="44.0909090909091" customWidth="1"/>
  </cols>
  <sheetData>
    <row r="1" ht="30" customHeight="1" spans="1:4">
      <c r="A1" s="1" t="s">
        <v>36</v>
      </c>
      <c r="B1" s="1" t="s">
        <v>37</v>
      </c>
      <c r="C1" s="1" t="s">
        <v>38</v>
      </c>
      <c r="D1" s="1" t="s">
        <v>11</v>
      </c>
    </row>
    <row r="2" ht="70" spans="1:5">
      <c r="A2" t="s">
        <v>39</v>
      </c>
      <c r="B2" s="2" t="s">
        <v>40</v>
      </c>
      <c r="C2" t="s">
        <v>41</v>
      </c>
      <c r="D2" s="3" t="s">
        <v>42</v>
      </c>
      <c r="E2" s="3" t="s">
        <v>43</v>
      </c>
    </row>
  </sheetData>
  <hyperlinks>
    <hyperlink ref="B2" r:id="rId1" display="1325673143@qq.com"/>
  </hyperlink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当日</vt:lpstr>
      <vt:lpstr>月度</vt:lpstr>
      <vt:lpstr>记忆</vt:lpstr>
      <vt:lpstr>账户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Baby Q</cp:lastModifiedBy>
  <dcterms:created xsi:type="dcterms:W3CDTF">2021-06-30T08:13:00Z</dcterms:created>
  <dcterms:modified xsi:type="dcterms:W3CDTF">2024-09-14T09:58:40Z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2052-12.1.0.18276</vt:lpwstr>
  </property>
  <property fmtid="{D5CDD505-2E9C-101B-9397-08002B2CF9AE}" pid="3" name="KSOTemplateUUID">
    <vt:lpwstr>v1.0_mb_MOdv9l29kGVouidhySJFNQ==</vt:lpwstr>
  </property>
  <property fmtid="{D5CDD505-2E9C-101B-9397-08002B2CF9AE}" pid="4" name="ICV">
    <vt:lpwstr>230C7E2380904657B83C96E4031A3146_13</vt:lpwstr>
  </property>
</Properties>
</file>