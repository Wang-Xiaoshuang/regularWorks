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 activeTab="1"/>
  </bookViews>
  <sheets>
    <sheet name="月度" sheetId="2" r:id="rId1"/>
    <sheet name="当日" sheetId="1" r:id="rId2"/>
  </sheets>
  <definedNames>
    <definedName name="_xlnm._FilterDatabase" localSheetId="1" hidden="1">当日!$K$2:$M$12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<sst xmlns="http://schemas.openxmlformats.org/spreadsheetml/2006/main" count="47" uniqueCount="37">
  <si>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</si>
  <si>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</si>
  <si>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</si>
  <si>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</si>
  <si>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</si>
  <si>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</si>
  <si>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</si>
  <si>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</si>
  <si>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</si>
  <si>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</si>
  <si>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</si>
  <si>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</si>
  <si>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</si>
  <si>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</si>
  <si>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</si>
  <si>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</si>
  <si>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</si>
  <si>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</si>
  <si>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</si>
  <si>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</si>
  <si>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</si>
  <si>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</si>
  <si>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</si>
  <si>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</si>
  <si>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</si>
  <si>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>完成观情报的详情页</t>
  </si>
  <si>
    <t xml:space="preserve"> 做好上次的流量作业，预约下次的课程</t>
  </si>
  <si>
    <t xml:space="preserve"> 整理电脑需要保存的资料</t>
  </si>
  <si>
    <t xml:space="preserve"> 切换环境，安装好谷歌和VPN</t>
  </si>
  <si>
    <t>集草器清单</t>
  </si>
  <si>
    <t>本周目的</t>
  </si>
  <si>
    <t>目标-利益关系人</t>
  </si>
  <si>
    <t>日期</t>
  </si>
  <si>
    <t>工程</t>
  </si>
  <si>
    <t>交付日期</t>
  </si>
  <si>
    <t>补卡</t>
  </si>
  <si>
    <t>配置好家用笔记本的环境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</si>
</sst>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75585192419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4"/>
        </patternFill>
      </fill>
    </dxf>
    <dxf>
      <numFmt numFmtId="178" formatCode=";;;"/>
    </dxf>
    <dxf>
      <font>
        <color theme="5" tint="0.799981688894314"/>
      </font>
      <fill>
        <patternFill patternType="solid">
          <bgColor theme="5" tint="0.799981688894314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75585192419"/>
      </font>
      <fill>
        <patternFill patternType="solid">
          <bgColor theme="8" tint="0.399975585192419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/>
    <tableColumn id="2" name="一"/>
    <tableColumn id="3" name="二"/>
    <tableColumn id="4" name="三"/>
    <tableColumn id="5" name="四"/>
    <tableColumn id="6" name="五"/>
    <tableColumn id="7" name="六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/>
    <tableColumn id="2" name="一" dataDxfId="8"/>
    <tableColumn id="3" name="二" dataDxfId="9"/>
    <tableColumn id="4" name="三" dataDxfId="10"/>
    <tableColumn id="5" name="四" dataDxfId="11"/>
    <tableColumn id="6" name="五" dataDxfId="12"/>
    <tableColumn id="7" name="六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363636363636" style="2" customWidth="1"/>
    <col min="11" max="11" width="21.3181818181818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>INT(DATE($C$2,$F$2,0)/7)*7+COLUMN(A1)+7*(ROW(B1)-1)</f>
        <v>45410</v>
      </c>
      <c r="C4" s="10">
        <f>INT(DATE($C$2,$F$2,0)/7)*7+COLUMN(B1)+7*(ROW(C1)-1)</f>
        <v>45411</v>
      </c>
      <c r="D4" s="10">
        <f>INT(DATE($C$2,$F$2,0)/7)*7+COLUMN(C1)+7*(ROW(D1)-1)</f>
        <v>45412</v>
      </c>
      <c r="E4" s="10">
        <f>INT(DATE($C$2,$F$2,0)/7)*7+COLUMN(D1)+7*(ROW(E1)-1)</f>
        <v>45413</v>
      </c>
      <c r="F4" s="10">
        <f>INT(DATE($C$2,$F$2,0)/7)*7+COLUMN(E1)+7*(ROW(F1)-1)</f>
        <v>45414</v>
      </c>
      <c r="G4" s="10">
        <f>INT(DATE($C$2,$F$2,0)/7)*7+COLUMN(F1)+7*(ROW(G1)-1)</f>
        <v>45415</v>
      </c>
      <c r="H4" s="10">
        <f>INT(DATE($C$2,$F$2,0)/7)*7+COLUMN(G1)+7*(ROW(H1)-1)</f>
        <v>45416</v>
      </c>
      <c r="J4" s="30" t="s">
        <v>12</v>
      </c>
      <c r="K4" s="31" t="s">
        <v>13</v>
      </c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</row>
    <row r="5" ht="28.05" customHeight="1" spans="2:42">
      <c r="B5" s="10">
        <f>INT(DATE($C$2,$F$2,0)/7)*7+COLUMN(A2)+7*(ROW(B2)-1)</f>
        <v>45417</v>
      </c>
      <c r="C5" s="10">
        <f>INT(DATE($C$2,$F$2,0)/7)*7+COLUMN(B2)+7*(ROW(C2)-1)</f>
        <v>45418</v>
      </c>
      <c r="D5" s="10">
        <f>INT(DATE($C$2,$F$2,0)/7)*7+COLUMN(C2)+7*(ROW(D2)-1)</f>
        <v>45419</v>
      </c>
      <c r="E5" s="10">
        <f>INT(DATE($C$2,$F$2,0)/7)*7+COLUMN(D2)+7*(ROW(E2)-1)</f>
        <v>45420</v>
      </c>
      <c r="F5" s="10">
        <f>INT(DATE($C$2,$F$2,0)/7)*7+COLUMN(E2)+7*(ROW(F2)-1)</f>
        <v>45421</v>
      </c>
      <c r="G5" s="10">
        <f>INT(DATE($C$2,$F$2,0)/7)*7+COLUMN(F2)+7*(ROW(G2)-1)</f>
        <v>45422</v>
      </c>
      <c r="H5" s="10">
        <f>INT(DATE($C$2,$F$2,0)/7)*7+COLUMN(G2)+7*(ROW(H2)-1)</f>
        <v>45423</v>
      </c>
      <c r="J5" s="32"/>
      <c r="K5" s="31" t="s">
        <v>14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</row>
    <row r="6" ht="28.05" customHeight="1" spans="2:42">
      <c r="B6" s="10">
        <f>INT(DATE($C$2,$F$2,0)/7)*7+COLUMN(A3)+7*(ROW(B3)-1)</f>
        <v>45424</v>
      </c>
      <c r="C6" s="10">
        <f>INT(DATE($C$2,$F$2,0)/7)*7+COLUMN(B3)+7*(ROW(C3)-1)</f>
        <v>45425</v>
      </c>
      <c r="D6" s="10">
        <f>INT(DATE($C$2,$F$2,0)/7)*7+COLUMN(C3)+7*(ROW(D3)-1)</f>
        <v>45426</v>
      </c>
      <c r="E6" s="10">
        <f>INT(DATE($C$2,$F$2,0)/7)*7+COLUMN(D3)+7*(ROW(E3)-1)</f>
        <v>45427</v>
      </c>
      <c r="F6" s="10">
        <f>INT(DATE($C$2,$F$2,0)/7)*7+COLUMN(E3)+7*(ROW(F3)-1)</f>
        <v>45428</v>
      </c>
      <c r="G6" s="10">
        <f>INT(DATE($C$2,$F$2,0)/7)*7+COLUMN(F3)+7*(ROW(G3)-1)</f>
        <v>45429</v>
      </c>
      <c r="H6" s="10">
        <f>INT(DATE($C$2,$F$2,0)/7)*7+COLUMN(G3)+7*(ROW(H3)-1)</f>
        <v>45430</v>
      </c>
      <c r="J6" s="32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>INT(DATE($C$2,$F$2,0)/7)*7+COLUMN(A4)+7*(ROW(B4)-1)</f>
        <v>45431</v>
      </c>
      <c r="C7" s="10">
        <f>INT(DATE($C$2,$F$2,0)/7)*7+COLUMN(B4)+7*(ROW(C4)-1)</f>
        <v>45432</v>
      </c>
      <c r="D7" s="10">
        <f>INT(DATE($C$2,$F$2,0)/7)*7+COLUMN(C4)+7*(ROW(D4)-1)</f>
        <v>45433</v>
      </c>
      <c r="E7" s="10">
        <f>INT(DATE($C$2,$F$2,0)/7)*7+COLUMN(D4)+7*(ROW(E4)-1)</f>
        <v>45434</v>
      </c>
      <c r="F7" s="10">
        <f>INT(DATE($C$2,$F$2,0)/7)*7+COLUMN(E4)+7*(ROW(F4)-1)</f>
        <v>45435</v>
      </c>
      <c r="G7" s="10">
        <f>INT(DATE($C$2,$F$2,0)/7)*7+COLUMN(F4)+7*(ROW(G4)-1)</f>
        <v>45436</v>
      </c>
      <c r="H7" s="10">
        <f>INT(DATE($C$2,$F$2,0)/7)*7+COLUMN(G4)+7*(ROW(H4)-1)</f>
        <v>45437</v>
      </c>
      <c r="J7" s="33"/>
      <c r="K7" s="34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>
        <f t="shared" ref="AN7:AP7" si="1">COUNTIF(AN4:AN6,"√")</f>
        <v>0</v>
      </c>
      <c r="AO7" s="35">
        <f t="shared" si="1"/>
        <v>0</v>
      </c>
      <c r="AP7" s="35">
        <f t="shared" si="1"/>
        <v>0</v>
      </c>
    </row>
    <row r="8" ht="28.05" customHeight="1" spans="2:42">
      <c r="B8" s="10">
        <f>INT(DATE($C$2,$F$2,0)/7)*7+COLUMN(A5)+7*(ROW(B5)-1)</f>
        <v>45438</v>
      </c>
      <c r="C8" s="10">
        <f>INT(DATE($C$2,$F$2,0)/7)*7+COLUMN(B5)+7*(ROW(C5)-1)</f>
        <v>45439</v>
      </c>
      <c r="D8" s="10">
        <f>INT(DATE($C$2,$F$2,0)/7)*7+COLUMN(C5)+7*(ROW(D5)-1)</f>
        <v>45440</v>
      </c>
      <c r="E8" s="10">
        <f>INT(DATE($C$2,$F$2,0)/7)*7+COLUMN(D5)+7*(ROW(E5)-1)</f>
        <v>45441</v>
      </c>
      <c r="F8" s="10">
        <f>INT(DATE($C$2,$F$2,0)/7)*7+COLUMN(E5)+7*(ROW(F5)-1)</f>
        <v>45442</v>
      </c>
      <c r="G8" s="10">
        <f>INT(DATE($C$2,$F$2,0)/7)*7+COLUMN(F5)+7*(ROW(G5)-1)</f>
        <v>45443</v>
      </c>
      <c r="H8" s="10">
        <f>INT(DATE($C$2,$F$2,0)/7)*7+COLUMN(G5)+7*(ROW(H5)-1)</f>
        <v>45444</v>
      </c>
      <c r="J8" s="36" t="s">
        <v>15</v>
      </c>
      <c r="K8" s="18" t="s">
        <v>16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>INT(DATE($C$2,$F$2,0)/7)*7+COLUMN(A6)+7*(ROW(B6)-1)</f>
        <v>45445</v>
      </c>
      <c r="C9" s="10">
        <f>INT(DATE($C$2,$F$2,0)/7)*7+COLUMN(B6)+7*(ROW(C6)-1)</f>
        <v>45446</v>
      </c>
      <c r="D9" s="10">
        <f>INT(DATE($C$2,$F$2,0)/7)*7+COLUMN(C6)+7*(ROW(D6)-1)</f>
        <v>45447</v>
      </c>
      <c r="E9" s="10">
        <f>INT(DATE($C$2,$F$2,0)/7)*7+COLUMN(D6)+7*(ROW(E6)-1)</f>
        <v>45448</v>
      </c>
      <c r="F9" s="10">
        <f>INT(DATE($C$2,$F$2,0)/7)*7+COLUMN(E6)+7*(ROW(F6)-1)</f>
        <v>45449</v>
      </c>
      <c r="G9" s="10">
        <f>INT(DATE($C$2,$F$2,0)/7)*7+COLUMN(F6)+7*(ROW(G6)-1)</f>
        <v>45450</v>
      </c>
      <c r="H9" s="10">
        <f>INT(DATE($C$2,$F$2,0)/7)*7+COLUMN(G6)+7*(ROW(H6)-1)</f>
        <v>45451</v>
      </c>
      <c r="J9" s="32"/>
      <c r="K9" s="18" t="s">
        <v>17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2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3"/>
      <c r="K11" s="37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2">COUNTIF(AN8:AN10,"√")</f>
        <v>0</v>
      </c>
      <c r="AO11" s="18">
        <f t="shared" si="2"/>
        <v>0</v>
      </c>
      <c r="AP11" s="18">
        <f t="shared" si="2"/>
        <v>0</v>
      </c>
    </row>
    <row r="12" ht="22.95" customHeight="1" spans="10:42">
      <c r="J12" s="30" t="s">
        <v>18</v>
      </c>
      <c r="K12" s="22" t="s">
        <v>19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2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2"/>
      <c r="K14" s="22" t="s">
        <v>21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3"/>
      <c r="K15" s="38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3">COUNTIF(AN12:AN14,"√")</f>
        <v>0</v>
      </c>
      <c r="AO15" s="22">
        <f t="shared" si="3"/>
        <v>0</v>
      </c>
      <c r="AP15" s="22">
        <f t="shared" si="3"/>
        <v>0</v>
      </c>
    </row>
    <row r="16" ht="22.95" customHeight="1" spans="10:42">
      <c r="J16"/>
      <c r="K16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</row>
    <row r="17" ht="22.95" customHeight="1" spans="10:42">
      <c r="J17"/>
      <c r="K17" s="40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>
        <v>0</v>
      </c>
      <c r="AN17" s="39"/>
      <c r="AO17" s="39"/>
      <c r="AP17" s="39"/>
    </row>
    <row r="18" ht="22.95" customHeight="1" spans="10:42">
      <c r="J18"/>
      <c r="K18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</row>
    <row r="19" ht="22.95" hidden="1" customHeight="1" spans="10:42">
      <c r="J19"/>
      <c r="K1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</row>
    <row r="20" ht="22.95" hidden="1" customHeight="1" spans="10:42">
      <c r="J20"/>
      <c r="K20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</row>
    <row r="21" ht="22.95" hidden="1" customHeight="1" spans="10:42">
      <c r="J21"/>
      <c r="K21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ht="22.95" hidden="1" customHeight="1" spans="10:42">
      <c r="J22"/>
      <c r="K22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</row>
    <row r="23" ht="22.95" hidden="1" customHeight="1" spans="10:42">
      <c r="J23"/>
      <c r="K23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ht="22.95" hidden="1" customHeight="1" spans="10:42">
      <c r="J24"/>
      <c r="K24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</row>
    <row r="25" ht="22.95" hidden="1" customHeight="1" spans="10:42">
      <c r="J25"/>
      <c r="K25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L6" sqref="L6"/>
    </sheetView>
  </sheetViews>
  <sheetFormatPr defaultColWidth="9" defaultRowHeight="16.5"/>
  <cols>
    <col min="1" max="1" width="3.7" customWidth="1"/>
    <col min="2" max="8" width="5.10909090909091" style="1" customWidth="1"/>
    <col min="9" max="10" width="3.92727272727273" style="1" customWidth="1"/>
    <col min="11" max="11" width="46.4636363636364" style="2" customWidth="1"/>
    <col min="12" max="12" width="44.9090909090909" style="2" customWidth="1"/>
    <col min="13" max="13" width="11.7545454545455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23</v>
      </c>
      <c r="M3" s="17" t="s">
        <v>24</v>
      </c>
    </row>
    <row r="4" ht="26" customHeight="1" spans="1:13">
      <c r="A4" s="9"/>
      <c r="B4" s="10">
        <f>INT(DATE($C$2,$F$2,0)/7)*7+COLUMN(A1)+7*(ROW(B1)-1)</f>
        <v>45410</v>
      </c>
      <c r="C4" s="10">
        <f>INT(DATE($C$2,$F$2,0)/7)*7+COLUMN(B1)+7*(ROW(C1)-1)</f>
        <v>45411</v>
      </c>
      <c r="D4" s="10">
        <f>INT(DATE($C$2,$F$2,0)/7)*7+COLUMN(C1)+7*(ROW(D1)-1)</f>
        <v>45412</v>
      </c>
      <c r="E4" s="10">
        <f>INT(DATE($C$2,$F$2,0)/7)*7+COLUMN(D1)+7*(ROW(E1)-1)</f>
        <v>45413</v>
      </c>
      <c r="F4" s="10">
        <f>INT(DATE($C$2,$F$2,0)/7)*7+COLUMN(E1)+7*(ROW(F1)-1)</f>
        <v>45414</v>
      </c>
      <c r="G4" s="10">
        <f>INT(DATE($C$2,$F$2,0)/7)*7+COLUMN(F1)+7*(ROW(G1)-1)</f>
        <v>45415</v>
      </c>
      <c r="H4" s="10">
        <f>INT(DATE($C$2,$F$2,0)/7)*7+COLUMN(G1)+7*(ROW(H1)-1)</f>
        <v>45416</v>
      </c>
      <c r="K4" s="18" t="s">
        <v>25</v>
      </c>
      <c r="L4" s="18"/>
      <c r="M4" s="18"/>
    </row>
    <row r="5" ht="26" customHeight="1" spans="2:13">
      <c r="B5" s="10">
        <f>INT(DATE($C$2,$F$2,0)/7)*7+COLUMN(A2)+7*(ROW(B2)-1)</f>
        <v>45417</v>
      </c>
      <c r="C5" s="10">
        <f>INT(DATE($C$2,$F$2,0)/7)*7+COLUMN(B2)+7*(ROW(C2)-1)</f>
        <v>45418</v>
      </c>
      <c r="D5" s="10">
        <f>INT(DATE($C$2,$F$2,0)/7)*7+COLUMN(C2)+7*(ROW(D2)-1)</f>
        <v>45419</v>
      </c>
      <c r="E5" s="10">
        <f>INT(DATE($C$2,$F$2,0)/7)*7+COLUMN(D2)+7*(ROW(E2)-1)</f>
        <v>45420</v>
      </c>
      <c r="F5" s="10">
        <f>INT(DATE($C$2,$F$2,0)/7)*7+COLUMN(E2)+7*(ROW(F2)-1)</f>
        <v>45421</v>
      </c>
      <c r="G5" s="10">
        <f>INT(DATE($C$2,$F$2,0)/7)*7+COLUMN(F2)+7*(ROW(G2)-1)</f>
        <v>45422</v>
      </c>
      <c r="H5" s="10">
        <f>INT(DATE($C$2,$F$2,0)/7)*7+COLUMN(G2)+7*(ROW(H2)-1)</f>
        <v>45423</v>
      </c>
      <c r="K5" s="18" t="s">
        <v>26</v>
      </c>
      <c r="L5" s="18"/>
      <c r="M5" s="18"/>
    </row>
    <row r="6" ht="26" customHeight="1" spans="2:13">
      <c r="B6" s="10">
        <f>INT(DATE($C$2,$F$2,0)/7)*7+COLUMN(A3)+7*(ROW(B3)-1)</f>
        <v>45424</v>
      </c>
      <c r="C6" s="10">
        <f t="shared" ref="C6:H6" si="0">INT(DATE($C$2,$F$2,0)/7)*7+COLUMN(B3)+7*(ROW(C3)-1)</f>
        <v>45425</v>
      </c>
      <c r="D6" s="10">
        <f t="shared" si="0"/>
        <v>45426</v>
      </c>
      <c r="E6" s="10">
        <f t="shared" si="0"/>
        <v>45427</v>
      </c>
      <c r="F6" s="10">
        <f t="shared" si="0"/>
        <v>45428</v>
      </c>
      <c r="G6" s="10">
        <f t="shared" si="0"/>
        <v>45429</v>
      </c>
      <c r="H6" s="10">
        <f t="shared" si="0"/>
        <v>45430</v>
      </c>
      <c r="K6" s="18" t="s">
        <v>27</v>
      </c>
      <c r="L6" s="18"/>
      <c r="M6" s="18"/>
    </row>
    <row r="7" ht="26" customHeight="1" spans="2:13">
      <c r="B7" s="10">
        <f>INT(DATE($C$2,$F$2,0)/7)*7+COLUMN(A4)+7*(ROW(B4)-1)</f>
        <v>45431</v>
      </c>
      <c r="C7" s="10">
        <f>INT(DATE($C$2,$F$2,0)/7)*7+COLUMN(B4)+7*(ROW(C4)-1)</f>
        <v>45432</v>
      </c>
      <c r="D7" s="10">
        <f>INT(DATE($C$2,$F$2,0)/7)*7+COLUMN(C4)+7*(ROW(D4)-1)</f>
        <v>45433</v>
      </c>
      <c r="E7" s="10">
        <f>INT(DATE($C$2,$F$2,0)/7)*7+COLUMN(D4)+7*(ROW(E4)-1)</f>
        <v>45434</v>
      </c>
      <c r="F7" s="10">
        <f>INT(DATE($C$2,$F$2,0)/7)*7+COLUMN(E4)+7*(ROW(F4)-1)</f>
        <v>45435</v>
      </c>
      <c r="G7" s="10">
        <f>INT(DATE($C$2,$F$2,0)/7)*7+COLUMN(F4)+7*(ROW(G4)-1)</f>
        <v>45436</v>
      </c>
      <c r="H7" s="10">
        <f>INT(DATE($C$2,$F$2,0)/7)*7+COLUMN(G4)+7*(ROW(H4)-1)</f>
        <v>45437</v>
      </c>
      <c r="K7" s="18" t="s">
        <v>28</v>
      </c>
      <c r="L7" s="18"/>
      <c r="M7" s="18"/>
    </row>
    <row r="8" ht="26" customHeight="1" spans="2:13">
      <c r="B8" s="10">
        <f>INT(DATE($C$2,$F$2,0)/7)*7+COLUMN(A5)+7*(ROW(B5)-1)</f>
        <v>45438</v>
      </c>
      <c r="C8" s="10">
        <f>INT(DATE($C$2,$F$2,0)/7)*7+COLUMN(B5)+7*(ROW(C5)-1)</f>
        <v>45439</v>
      </c>
      <c r="D8" s="10">
        <f>INT(DATE($C$2,$F$2,0)/7)*7+COLUMN(C5)+7*(ROW(D5)-1)</f>
        <v>45440</v>
      </c>
      <c r="E8" s="10">
        <f>INT(DATE($C$2,$F$2,0)/7)*7+COLUMN(D5)+7*(ROW(E5)-1)</f>
        <v>45441</v>
      </c>
      <c r="F8" s="10">
        <f>INT(DATE($C$2,$F$2,0)/7)*7+COLUMN(E5)+7*(ROW(F5)-1)</f>
        <v>45442</v>
      </c>
      <c r="G8" s="10">
        <f>INT(DATE($C$2,$F$2,0)/7)*7+COLUMN(F5)+7*(ROW(G5)-1)</f>
        <v>45443</v>
      </c>
      <c r="H8" s="10">
        <f>INT(DATE($C$2,$F$2,0)/7)*7+COLUMN(G5)+7*(ROW(H5)-1)</f>
        <v>45444</v>
      </c>
      <c r="K8" s="19"/>
      <c r="L8" s="18"/>
      <c r="M8" s="18"/>
    </row>
    <row r="9" ht="37" customHeight="1" spans="2:13">
      <c r="B9" s="11" t="s">
        <v>29</v>
      </c>
      <c r="K9" s="20" t="s">
        <v>30</v>
      </c>
      <c r="L9" s="21"/>
      <c r="M9" s="22"/>
    </row>
    <row r="10" ht="26" customHeight="1" spans="1:13">
      <c r="A10" s="12"/>
      <c r="B10" s="13" t="s">
        <v>31</v>
      </c>
      <c r="C10" s="13"/>
      <c r="D10" s="13"/>
      <c r="E10" s="13"/>
      <c r="F10" s="13"/>
      <c r="G10" s="13"/>
      <c r="H10" s="13"/>
      <c r="I10" s="23" t="s">
        <v>32</v>
      </c>
      <c r="J10" s="23"/>
      <c r="K10" s="24" t="s">
        <v>33</v>
      </c>
      <c r="L10" s="25"/>
      <c r="M10" s="26" t="s">
        <v>34</v>
      </c>
    </row>
    <row r="11" ht="26" customHeight="1" spans="1:13">
      <c r="A11" s="12"/>
      <c r="B11" s="14" t="s">
        <v>35</v>
      </c>
      <c r="C11" s="14"/>
      <c r="D11" s="14"/>
      <c r="E11" s="14"/>
      <c r="F11" s="14"/>
      <c r="G11" s="14"/>
      <c r="H11" s="14"/>
      <c r="I11" s="27"/>
      <c r="J11" s="27"/>
      <c r="K11" s="28" t="s">
        <v>36</v>
      </c>
      <c r="L11" s="29"/>
      <c r="M11" s="18"/>
    </row>
    <row r="12" ht="26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/>
      <c r="L12" s="29"/>
      <c r="M12" s="18"/>
    </row>
    <row r="13" ht="26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9"/>
      <c r="M13" s="18"/>
    </row>
    <row r="14" ht="26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9"/>
      <c r="M14" s="18"/>
    </row>
    <row r="15" ht="26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9"/>
      <c r="M15" s="18"/>
    </row>
    <row r="16" ht="26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9"/>
      <c r="M16" s="18"/>
    </row>
    <row r="17" ht="26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9"/>
      <c r="M17" s="18"/>
    </row>
    <row r="18" ht="26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9"/>
      <c r="M18" s="18"/>
    </row>
    <row r="19" ht="26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9"/>
      <c r="M19" s="18"/>
    </row>
    <row r="20" ht="26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9"/>
      <c r="M20" s="18"/>
    </row>
  </sheetData>
  <sortState ref="K4:K8">
    <sortCondition ref="K4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2024-05-20T10:00:46Z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2052-12.1.0.16729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