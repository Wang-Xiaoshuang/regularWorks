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7000" activeTab="2"/>
  </bookViews>
  <sheets>
    <sheet name="当日" sheetId="1" r:id="rId1"/>
    <sheet name="月度" sheetId="2" r:id="rId2"/>
    <sheet name="账户" sheetId="3" r:id="rId3"/>
  </sheets>
  <definedNames>
    <definedName name="_xlnm._FilterDatabase" localSheetId="0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<sst xmlns="http://schemas.openxmlformats.org/spreadsheetml/2006/main" count="59" uniqueCount="39">
  <si>
    <t>本日快捷清单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</si>
  <si>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</si>
  <si>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</si>
  <si>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</si>
  <si>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</si>
  <si>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</si>
  <si>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</si>
  <si>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</si>
  <si>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</si>
  <si>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</si>
  <si>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工作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</si>
  <si>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</si>
  <si>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</si>
  <si>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</si>
  <si>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</si>
  <si>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</si>
  <si>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</si>
  <si>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</si>
  <si>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</si>
  <si>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话费套餐取消</t>
  </si>
  <si>
    <t>目标表</t>
  </si>
  <si>
    <t>目标</t>
  </si>
  <si>
    <t>事项弹性</t>
  </si>
  <si>
    <t>事业</t>
  </si>
  <si>
    <t>前端课程（10日1节）</t>
  </si>
  <si>
    <t>精力</t>
  </si>
  <si>
    <t>行万步 | 其他运动</t>
  </si>
  <si>
    <t>√</t>
  </si>
  <si>
    <t>早睡-锁手机</t>
  </si>
  <si>
    <t>理财</t>
  </si>
  <si>
    <t>阅读-大作手回忆录</t>
  </si>
  <si>
    <t>新闻-选股领域资讯</t>
  </si>
  <si>
    <t>复盘图形（1支）</t>
  </si>
  <si>
    <t>账户</t>
  </si>
  <si>
    <t>用户名</t>
  </si>
  <si>
    <t>密码</t>
  </si>
  <si>
    <t>GitHub</t>
  </si>
  <si>
    <t>1325673143@qq.com</t>
  </si>
  <si>
    <t>wxs971115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</si>
</sst>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2"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14548173467"/>
      <name val="宋体"/>
      <charset val="134"/>
      <scheme val="minor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14548173467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9" borderId="12" applyNumberFormat="0" applyAlignment="0" applyProtection="0">
      <alignment vertical="center"/>
    </xf>
    <xf numFmtId="0" fontId="22" fillId="10" borderId="13" applyNumberFormat="0" applyAlignment="0" applyProtection="0">
      <alignment vertical="center"/>
    </xf>
    <xf numFmtId="0" fontId="23" fillId="10" borderId="12" applyNumberFormat="0" applyAlignment="0" applyProtection="0">
      <alignment vertical="center"/>
    </xf>
    <xf numFmtId="0" fontId="24" fillId="11" borderId="14" applyNumberFormat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2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1" fillId="0" borderId="0" xfId="6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176" fontId="5" fillId="3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77" fontId="8" fillId="2" borderId="3" xfId="0" applyNumberFormat="1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left" vertical="center"/>
    </xf>
    <xf numFmtId="0" fontId="12" fillId="0" borderId="2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8" fillId="2" borderId="7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7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numFmt numFmtId="178" formatCode=";;;"/>
    </dxf>
    <dxf>
      <font>
        <color theme="5" tint="0.799920651875362"/>
      </font>
      <fill>
        <patternFill patternType="solid">
          <bgColor theme="5" tint="0.799920651875362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14548173467"/>
      </font>
      <fill>
        <patternFill patternType="solid">
          <bgColor theme="8" tint="0.399914548173467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表8_5" displayName="表8_5" ref="B3:H8" totalsRowShown="0">
  <tableColumns count="7">
    <tableColumn id="1" name="日" dataDxfId="0">
      <calculatedColumnFormula>INT(DATE($C$2,$F$2,0)/7)*7+COLUMN(A1)+7*(ROW(B1)-1)</calculatedColumnFormula>
    </tableColumn>
    <tableColumn id="2" name="一" dataDxfId="1">
      <calculatedColumnFormula>INT(DATE($C$2,$F$2,0)/7)*7+COLUMN(B1)+7*(ROW(C1)-1)</calculatedColumnFormula>
    </tableColumn>
    <tableColumn id="3" name="二" dataDxfId="2">
      <calculatedColumnFormula>INT(DATE($C$2,$F$2,0)/7)*7+COLUMN(C1)+7*(ROW(D1)-1)</calculatedColumnFormula>
    </tableColumn>
    <tableColumn id="4" name="三" dataDxfId="3">
      <calculatedColumnFormula>INT(DATE($C$2,$F$2,0)/7)*7+COLUMN(D1)+7*(ROW(E1)-1)</calculatedColumnFormula>
    </tableColumn>
    <tableColumn id="5" name="四" dataDxfId="4">
      <calculatedColumnFormula>INT(DATE($C$2,$F$2,0)/7)*7+COLUMN(E1)+7*(ROW(F1)-1)</calculatedColumnFormula>
    </tableColumn>
    <tableColumn id="6" name="五" dataDxfId="5">
      <calculatedColumnFormula>INT(DATE($C$2,$F$2,0)/7)*7+COLUMN(F1)+7*(ROW(G1)-1)</calculatedColumnFormula>
    </tableColumn>
    <tableColumn id="7" name="六" dataDxfId="6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1325673143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zoomScale="85" zoomScaleNormal="85" workbookViewId="0">
      <selection activeCell="B11" sqref="B11:H11"/>
    </sheetView>
  </sheetViews>
  <sheetFormatPr defaultColWidth="9" defaultRowHeight="16.5"/>
  <cols>
    <col min="1" max="1" width="3.66363636363636" customWidth="1"/>
    <col min="2" max="8" width="5.10909090909091" style="2" customWidth="1"/>
    <col min="9" max="10" width="3.89090909090909" style="2" customWidth="1"/>
    <col min="11" max="11" width="46.4454545454545" style="3" customWidth="1"/>
    <col min="12" max="12" width="44.8909090909091" style="3" customWidth="1"/>
    <col min="13" max="13" width="11.7818181818182" style="2" customWidth="1"/>
  </cols>
  <sheetData>
    <row r="1" spans="11:13">
      <c r="K1" s="11" t="s">
        <v>0</v>
      </c>
      <c r="L1" s="11"/>
      <c r="M1" s="11"/>
    </row>
    <row r="2" ht="24" spans="2:13">
      <c r="B2" s="4"/>
      <c r="C2" s="5">
        <v>2024</v>
      </c>
      <c r="D2" s="5"/>
      <c r="E2" s="6" t="s">
        <v>1</v>
      </c>
      <c r="F2" s="7">
        <v>8</v>
      </c>
      <c r="G2" s="6" t="s">
        <v>2</v>
      </c>
      <c r="H2" s="6"/>
      <c r="K2" s="11"/>
      <c r="L2" s="11"/>
      <c r="M2" s="11"/>
    </row>
    <row r="3" ht="22.95" customHeight="1" spans="2:13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K3" s="12" t="s">
        <v>10</v>
      </c>
      <c r="L3" s="12" t="s">
        <v>11</v>
      </c>
      <c r="M3" s="13" t="s">
        <v>12</v>
      </c>
    </row>
    <row r="4" ht="25.95" customHeight="1" spans="1:13">
      <c r="A4" s="9"/>
      <c r="B4" s="10">
        <f t="shared" ref="B4:H5" si="0">INT(DATE($C$2,$F$2,0)/7)*7+COLUMN(A1)+7*(ROW(B1)-1)</f>
        <v>45501</v>
      </c>
      <c r="C4" s="10">
        <f t="shared" si="0"/>
        <v>45502</v>
      </c>
      <c r="D4" s="10">
        <f t="shared" si="0"/>
        <v>45503</v>
      </c>
      <c r="E4" s="10">
        <f t="shared" si="0"/>
        <v>45504</v>
      </c>
      <c r="F4" s="10">
        <f t="shared" si="0"/>
        <v>45505</v>
      </c>
      <c r="G4" s="10">
        <f t="shared" si="0"/>
        <v>45506</v>
      </c>
      <c r="H4" s="10">
        <f t="shared" si="0"/>
        <v>45507</v>
      </c>
      <c r="K4" s="17"/>
      <c r="L4" s="17"/>
      <c r="M4" s="17"/>
    </row>
    <row r="5" ht="25.95" customHeight="1" spans="2:13">
      <c r="B5" s="10">
        <f t="shared" si="0"/>
        <v>45508</v>
      </c>
      <c r="C5" s="10">
        <f t="shared" si="0"/>
        <v>45509</v>
      </c>
      <c r="D5" s="10">
        <f t="shared" si="0"/>
        <v>45510</v>
      </c>
      <c r="E5" s="10">
        <f t="shared" si="0"/>
        <v>45511</v>
      </c>
      <c r="F5" s="10">
        <f t="shared" si="0"/>
        <v>45512</v>
      </c>
      <c r="G5" s="10">
        <f t="shared" si="0"/>
        <v>45513</v>
      </c>
      <c r="H5" s="10">
        <f t="shared" si="0"/>
        <v>45514</v>
      </c>
      <c r="K5" s="17"/>
      <c r="L5" s="17"/>
      <c r="M5" s="17"/>
    </row>
    <row r="6" ht="25.95" customHeight="1" spans="2:13">
      <c r="B6" s="10">
        <f>INT(DATE($C$2,$F$2,0)/7)*7+COLUMN(A3)+7*(ROW(B3)-1)</f>
        <v>45515</v>
      </c>
      <c r="C6" s="10">
        <f t="shared" ref="C6:H6" si="1">INT(DATE($C$2,$F$2,0)/7)*7+COLUMN(B3)+7*(ROW(C3)-1)</f>
        <v>45516</v>
      </c>
      <c r="D6" s="10">
        <f t="shared" si="1"/>
        <v>45517</v>
      </c>
      <c r="E6" s="10">
        <f t="shared" si="1"/>
        <v>45518</v>
      </c>
      <c r="F6" s="10">
        <f t="shared" si="1"/>
        <v>45519</v>
      </c>
      <c r="G6" s="10">
        <f t="shared" si="1"/>
        <v>45520</v>
      </c>
      <c r="H6" s="10">
        <f t="shared" si="1"/>
        <v>45521</v>
      </c>
      <c r="K6" s="17"/>
      <c r="L6" s="17"/>
      <c r="M6" s="17"/>
    </row>
    <row r="7" ht="25.95" customHeight="1" spans="2:13">
      <c r="B7" s="10">
        <f>INT(DATE($C$2,$F$2,0)/7)*7+COLUMN(A4)+7*(ROW(B4)-1)</f>
        <v>45522</v>
      </c>
      <c r="C7" s="10">
        <f t="shared" ref="C7:H8" si="2">INT(DATE($C$2,$F$2,0)/7)*7+COLUMN(B4)+7*(ROW(C4)-1)</f>
        <v>45523</v>
      </c>
      <c r="D7" s="10">
        <f t="shared" si="2"/>
        <v>45524</v>
      </c>
      <c r="E7" s="10">
        <f t="shared" si="2"/>
        <v>45525</v>
      </c>
      <c r="F7" s="10">
        <f t="shared" si="2"/>
        <v>45526</v>
      </c>
      <c r="G7" s="10">
        <f t="shared" si="2"/>
        <v>45527</v>
      </c>
      <c r="H7" s="10">
        <f t="shared" si="2"/>
        <v>45528</v>
      </c>
      <c r="K7" s="17"/>
      <c r="L7" s="17"/>
      <c r="M7" s="17"/>
    </row>
    <row r="8" ht="25.95" customHeight="1" spans="2:13">
      <c r="B8" s="10">
        <f>INT(DATE($C$2,$F$2,0)/7)*7+COLUMN(A5)+7*(ROW(B5)-1)</f>
        <v>45529</v>
      </c>
      <c r="C8" s="10">
        <f t="shared" si="2"/>
        <v>45530</v>
      </c>
      <c r="D8" s="10">
        <f t="shared" si="2"/>
        <v>45531</v>
      </c>
      <c r="E8" s="10">
        <f t="shared" si="2"/>
        <v>45532</v>
      </c>
      <c r="F8" s="10">
        <f t="shared" si="2"/>
        <v>45533</v>
      </c>
      <c r="G8" s="10">
        <f t="shared" si="2"/>
        <v>45534</v>
      </c>
      <c r="H8" s="10">
        <f t="shared" si="2"/>
        <v>45535</v>
      </c>
      <c r="K8" s="28"/>
      <c r="L8" s="17"/>
      <c r="M8" s="17"/>
    </row>
    <row r="9" ht="37.05" customHeight="1" spans="2:13">
      <c r="B9" s="25" t="s">
        <v>13</v>
      </c>
      <c r="K9" s="29" t="s">
        <v>14</v>
      </c>
      <c r="L9" s="30"/>
      <c r="M9" s="22"/>
    </row>
    <row r="10" ht="25.95" customHeight="1" spans="2:13">
      <c r="B10" s="26" t="s">
        <v>15</v>
      </c>
      <c r="C10" s="26"/>
      <c r="D10" s="26"/>
      <c r="E10" s="26"/>
      <c r="F10" s="26"/>
      <c r="G10" s="26"/>
      <c r="H10" s="26"/>
      <c r="I10" s="31" t="s">
        <v>16</v>
      </c>
      <c r="J10" s="31"/>
      <c r="K10" s="32" t="s">
        <v>17</v>
      </c>
      <c r="L10" s="33"/>
      <c r="M10" s="34" t="s">
        <v>18</v>
      </c>
    </row>
    <row r="11" ht="25.95" customHeight="1" spans="2:13">
      <c r="B11" s="27" t="s">
        <v>19</v>
      </c>
      <c r="C11" s="27"/>
      <c r="D11" s="27"/>
      <c r="E11" s="27"/>
      <c r="F11" s="27"/>
      <c r="G11" s="27"/>
      <c r="H11" s="27"/>
      <c r="K11" s="35"/>
      <c r="L11" s="22"/>
      <c r="M11" s="17"/>
    </row>
    <row r="12" ht="25.95" customHeight="1" spans="2:13">
      <c r="B12" s="27"/>
      <c r="C12" s="27"/>
      <c r="D12" s="27"/>
      <c r="E12" s="27"/>
      <c r="F12" s="27"/>
      <c r="G12" s="27"/>
      <c r="H12" s="27"/>
      <c r="K12" s="35"/>
      <c r="L12" s="22"/>
      <c r="M12" s="17"/>
    </row>
    <row r="13" ht="25.95" customHeight="1" spans="2:13">
      <c r="B13" s="27"/>
      <c r="C13" s="27"/>
      <c r="D13" s="27"/>
      <c r="E13" s="27"/>
      <c r="F13" s="27"/>
      <c r="G13" s="27"/>
      <c r="H13" s="27"/>
      <c r="K13" s="35"/>
      <c r="L13" s="22"/>
      <c r="M13" s="17"/>
    </row>
    <row r="14" ht="25.95" customHeight="1" spans="2:13">
      <c r="B14" s="27"/>
      <c r="C14" s="27"/>
      <c r="D14" s="27"/>
      <c r="E14" s="27"/>
      <c r="F14" s="27"/>
      <c r="G14" s="27"/>
      <c r="H14" s="27"/>
      <c r="K14" s="35"/>
      <c r="L14" s="22"/>
      <c r="M14" s="17"/>
    </row>
    <row r="15" ht="25.95" customHeight="1" spans="2:13">
      <c r="B15" s="27"/>
      <c r="C15" s="27"/>
      <c r="D15" s="27"/>
      <c r="E15" s="27"/>
      <c r="F15" s="27"/>
      <c r="G15" s="27"/>
      <c r="H15" s="27"/>
      <c r="K15" s="35"/>
      <c r="L15" s="22"/>
      <c r="M15" s="17"/>
    </row>
    <row r="16" ht="25.95" customHeight="1" spans="2:13">
      <c r="B16" s="27"/>
      <c r="C16" s="27"/>
      <c r="D16" s="27"/>
      <c r="E16" s="27"/>
      <c r="F16" s="27"/>
      <c r="G16" s="27"/>
      <c r="H16" s="27"/>
      <c r="K16" s="35"/>
      <c r="L16" s="22"/>
      <c r="M16" s="17"/>
    </row>
    <row r="17" ht="25.95" customHeight="1" spans="2:13">
      <c r="B17" s="27"/>
      <c r="C17" s="27"/>
      <c r="D17" s="27"/>
      <c r="E17" s="27"/>
      <c r="F17" s="27"/>
      <c r="G17" s="27"/>
      <c r="H17" s="27"/>
      <c r="K17" s="35"/>
      <c r="L17" s="22"/>
      <c r="M17" s="17"/>
    </row>
    <row r="18" ht="25.95" customHeight="1" spans="2:13">
      <c r="B18" s="27"/>
      <c r="C18" s="27"/>
      <c r="D18" s="27"/>
      <c r="E18" s="27"/>
      <c r="F18" s="27"/>
      <c r="G18" s="27"/>
      <c r="H18" s="27"/>
      <c r="K18" s="35"/>
      <c r="L18" s="22"/>
      <c r="M18" s="17"/>
    </row>
    <row r="19" ht="25.95" customHeight="1" spans="2:13">
      <c r="B19" s="27"/>
      <c r="C19" s="27"/>
      <c r="D19" s="27"/>
      <c r="E19" s="27"/>
      <c r="F19" s="27"/>
      <c r="G19" s="27"/>
      <c r="H19" s="27"/>
      <c r="K19" s="35"/>
      <c r="L19" s="22"/>
      <c r="M19" s="17"/>
    </row>
    <row r="20" ht="25.95" customHeight="1" spans="2:13">
      <c r="B20" s="27"/>
      <c r="C20" s="27"/>
      <c r="D20" s="27"/>
      <c r="E20" s="27"/>
      <c r="F20" s="27"/>
      <c r="G20" s="27"/>
      <c r="H20" s="27"/>
      <c r="K20" s="35"/>
      <c r="L20" s="22"/>
      <c r="M20" s="17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7" priority="1" operator="equal">
      <formula>DAY(TODAY())</formula>
    </cfRule>
  </conditionalFormatting>
  <conditionalFormatting sqref="B4:I8">
    <cfRule type="cellIs" dxfId="8" priority="22" operator="equal">
      <formula>TODAY()</formula>
    </cfRule>
    <cfRule type="expression" dxfId="9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5" zoomScaleNormal="85" workbookViewId="0">
      <selection activeCell="K4" sqref="K4"/>
    </sheetView>
  </sheetViews>
  <sheetFormatPr defaultColWidth="9" defaultRowHeight="16.5"/>
  <cols>
    <col min="1" max="1" width="0.781818181818182" customWidth="1"/>
    <col min="2" max="2" width="4.44545454545455" style="2" customWidth="1"/>
    <col min="3" max="3" width="5" style="2" customWidth="1"/>
    <col min="4" max="4" width="4.55454545454545" style="2" customWidth="1"/>
    <col min="5" max="5" width="5.10909090909091" style="2" customWidth="1"/>
    <col min="6" max="6" width="5.33636363636364" style="2" customWidth="1"/>
    <col min="7" max="7" width="5" style="2" customWidth="1"/>
    <col min="8" max="8" width="4.78181818181818" style="2" customWidth="1"/>
    <col min="9" max="9" width="1" style="2" customWidth="1"/>
    <col min="10" max="10" width="10.4454545454545" style="3" customWidth="1"/>
    <col min="11" max="11" width="22.6636363636364" style="3" customWidth="1"/>
    <col min="12" max="42" width="3.44545454545455" style="2" customWidth="1"/>
  </cols>
  <sheetData>
    <row r="1" spans="10:42">
      <c r="J1" s="11" t="s">
        <v>20</v>
      </c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</row>
    <row r="2" ht="24" spans="2:42">
      <c r="B2" s="4"/>
      <c r="C2" s="5">
        <v>2024</v>
      </c>
      <c r="D2" s="5"/>
      <c r="E2" s="6" t="s">
        <v>1</v>
      </c>
      <c r="F2" s="7">
        <v>8</v>
      </c>
      <c r="G2" s="6" t="s">
        <v>2</v>
      </c>
      <c r="H2" s="6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</row>
    <row r="3" ht="22.95" customHeight="1" spans="2:42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J3" s="12" t="s">
        <v>21</v>
      </c>
      <c r="K3" s="12" t="s">
        <v>22</v>
      </c>
      <c r="L3" s="13">
        <f>1</f>
        <v>1</v>
      </c>
      <c r="M3" s="13">
        <f t="shared" ref="M3:AP3" si="0">L3+1</f>
        <v>2</v>
      </c>
      <c r="N3" s="13">
        <f t="shared" si="0"/>
        <v>3</v>
      </c>
      <c r="O3" s="13">
        <f t="shared" si="0"/>
        <v>4</v>
      </c>
      <c r="P3" s="13">
        <f t="shared" si="0"/>
        <v>5</v>
      </c>
      <c r="Q3" s="13">
        <f t="shared" si="0"/>
        <v>6</v>
      </c>
      <c r="R3" s="13">
        <f t="shared" si="0"/>
        <v>7</v>
      </c>
      <c r="S3" s="13">
        <f t="shared" si="0"/>
        <v>8</v>
      </c>
      <c r="T3" s="13">
        <f t="shared" si="0"/>
        <v>9</v>
      </c>
      <c r="U3" s="13">
        <f t="shared" si="0"/>
        <v>10</v>
      </c>
      <c r="V3" s="13">
        <f t="shared" si="0"/>
        <v>11</v>
      </c>
      <c r="W3" s="13">
        <f t="shared" si="0"/>
        <v>12</v>
      </c>
      <c r="X3" s="13">
        <f t="shared" si="0"/>
        <v>13</v>
      </c>
      <c r="Y3" s="13">
        <f t="shared" si="0"/>
        <v>14</v>
      </c>
      <c r="Z3" s="13">
        <f t="shared" si="0"/>
        <v>15</v>
      </c>
      <c r="AA3" s="13">
        <f t="shared" si="0"/>
        <v>16</v>
      </c>
      <c r="AB3" s="13">
        <f t="shared" si="0"/>
        <v>17</v>
      </c>
      <c r="AC3" s="13">
        <f t="shared" si="0"/>
        <v>18</v>
      </c>
      <c r="AD3" s="13">
        <f t="shared" si="0"/>
        <v>19</v>
      </c>
      <c r="AE3" s="13">
        <f t="shared" si="0"/>
        <v>20</v>
      </c>
      <c r="AF3" s="13">
        <f t="shared" si="0"/>
        <v>21</v>
      </c>
      <c r="AG3" s="13">
        <f t="shared" si="0"/>
        <v>22</v>
      </c>
      <c r="AH3" s="13">
        <f t="shared" si="0"/>
        <v>23</v>
      </c>
      <c r="AI3" s="13">
        <f t="shared" si="0"/>
        <v>24</v>
      </c>
      <c r="AJ3" s="13">
        <f t="shared" si="0"/>
        <v>25</v>
      </c>
      <c r="AK3" s="13">
        <f t="shared" si="0"/>
        <v>26</v>
      </c>
      <c r="AL3" s="13">
        <f t="shared" si="0"/>
        <v>27</v>
      </c>
      <c r="AM3" s="13">
        <f t="shared" si="0"/>
        <v>28</v>
      </c>
      <c r="AN3" s="13">
        <f t="shared" si="0"/>
        <v>29</v>
      </c>
      <c r="AO3" s="13">
        <f t="shared" si="0"/>
        <v>30</v>
      </c>
      <c r="AP3" s="13">
        <f t="shared" si="0"/>
        <v>31</v>
      </c>
    </row>
    <row r="4" ht="28.05" customHeight="1" spans="1:42">
      <c r="A4" s="9"/>
      <c r="B4" s="10">
        <f t="shared" ref="B4:H9" si="1">INT(DATE($C$2,$F$2,0)/7)*7+COLUMN(A1)+7*(ROW(B1)-1)</f>
        <v>45501</v>
      </c>
      <c r="C4" s="10">
        <f t="shared" si="1"/>
        <v>45502</v>
      </c>
      <c r="D4" s="10">
        <f t="shared" si="1"/>
        <v>45503</v>
      </c>
      <c r="E4" s="10">
        <f t="shared" si="1"/>
        <v>45504</v>
      </c>
      <c r="F4" s="10">
        <f t="shared" si="1"/>
        <v>45505</v>
      </c>
      <c r="G4" s="10">
        <f t="shared" si="1"/>
        <v>45506</v>
      </c>
      <c r="H4" s="10">
        <f t="shared" si="1"/>
        <v>45507</v>
      </c>
      <c r="J4" s="14" t="s">
        <v>23</v>
      </c>
      <c r="K4" s="15" t="s">
        <v>24</v>
      </c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ht="28.05" customHeight="1" spans="2:42">
      <c r="B5" s="10">
        <f t="shared" si="1"/>
        <v>45508</v>
      </c>
      <c r="C5" s="10">
        <f t="shared" si="1"/>
        <v>45509</v>
      </c>
      <c r="D5" s="10">
        <f t="shared" si="1"/>
        <v>45510</v>
      </c>
      <c r="E5" s="10">
        <f t="shared" si="1"/>
        <v>45511</v>
      </c>
      <c r="F5" s="10">
        <f t="shared" si="1"/>
        <v>45512</v>
      </c>
      <c r="G5" s="10">
        <f t="shared" si="1"/>
        <v>45513</v>
      </c>
      <c r="H5" s="10">
        <f t="shared" si="1"/>
        <v>45514</v>
      </c>
      <c r="J5" s="16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ht="28.05" customHeight="1" spans="2:42">
      <c r="B6" s="10">
        <f t="shared" si="1"/>
        <v>45515</v>
      </c>
      <c r="C6" s="10">
        <f t="shared" si="1"/>
        <v>45516</v>
      </c>
      <c r="D6" s="10">
        <f t="shared" si="1"/>
        <v>45517</v>
      </c>
      <c r="E6" s="10">
        <f t="shared" si="1"/>
        <v>45518</v>
      </c>
      <c r="F6" s="10">
        <f t="shared" si="1"/>
        <v>45519</v>
      </c>
      <c r="G6" s="10">
        <f t="shared" si="1"/>
        <v>45520</v>
      </c>
      <c r="H6" s="10">
        <f t="shared" si="1"/>
        <v>45521</v>
      </c>
      <c r="J6" s="16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</row>
    <row r="7" ht="28.05" customHeight="1" spans="2:42">
      <c r="B7" s="10">
        <f t="shared" si="1"/>
        <v>45522</v>
      </c>
      <c r="C7" s="10">
        <f t="shared" si="1"/>
        <v>45523</v>
      </c>
      <c r="D7" s="10">
        <f t="shared" si="1"/>
        <v>45524</v>
      </c>
      <c r="E7" s="10">
        <f t="shared" si="1"/>
        <v>45525</v>
      </c>
      <c r="F7" s="10">
        <f t="shared" si="1"/>
        <v>45526</v>
      </c>
      <c r="G7" s="10">
        <f t="shared" si="1"/>
        <v>45527</v>
      </c>
      <c r="H7" s="10">
        <f t="shared" si="1"/>
        <v>45528</v>
      </c>
      <c r="J7" s="18"/>
      <c r="K7" s="19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>
        <f t="shared" ref="AN7:AP7" si="2">COUNTIF(AN4:AN6,"√")</f>
        <v>0</v>
      </c>
      <c r="AO7" s="20">
        <f t="shared" si="2"/>
        <v>0</v>
      </c>
      <c r="AP7" s="20">
        <f t="shared" si="2"/>
        <v>0</v>
      </c>
    </row>
    <row r="8" ht="28.05" customHeight="1" spans="2:42">
      <c r="B8" s="10">
        <f t="shared" si="1"/>
        <v>45529</v>
      </c>
      <c r="C8" s="10">
        <f t="shared" si="1"/>
        <v>45530</v>
      </c>
      <c r="D8" s="10">
        <f t="shared" si="1"/>
        <v>45531</v>
      </c>
      <c r="E8" s="10">
        <f t="shared" si="1"/>
        <v>45532</v>
      </c>
      <c r="F8" s="10">
        <f t="shared" si="1"/>
        <v>45533</v>
      </c>
      <c r="G8" s="10">
        <f t="shared" si="1"/>
        <v>45534</v>
      </c>
      <c r="H8" s="10">
        <f t="shared" si="1"/>
        <v>45535</v>
      </c>
      <c r="J8" s="15" t="s">
        <v>25</v>
      </c>
      <c r="K8" s="17" t="s">
        <v>26</v>
      </c>
      <c r="L8" s="17" t="s">
        <v>27</v>
      </c>
      <c r="M8" s="17" t="s">
        <v>27</v>
      </c>
      <c r="N8" s="17" t="s">
        <v>27</v>
      </c>
      <c r="O8" s="17" t="s">
        <v>27</v>
      </c>
      <c r="P8" s="17" t="s">
        <v>27</v>
      </c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</row>
    <row r="9" ht="28.05" customHeight="1" spans="2:42">
      <c r="B9" s="10">
        <f t="shared" si="1"/>
        <v>45536</v>
      </c>
      <c r="C9" s="10">
        <f t="shared" si="1"/>
        <v>45537</v>
      </c>
      <c r="D9" s="10">
        <f t="shared" si="1"/>
        <v>45538</v>
      </c>
      <c r="E9" s="10">
        <f t="shared" si="1"/>
        <v>45539</v>
      </c>
      <c r="F9" s="10">
        <f t="shared" si="1"/>
        <v>45540</v>
      </c>
      <c r="G9" s="10">
        <f t="shared" si="1"/>
        <v>45541</v>
      </c>
      <c r="H9" s="10">
        <f t="shared" si="1"/>
        <v>45542</v>
      </c>
      <c r="J9" s="16"/>
      <c r="K9" s="17" t="s">
        <v>28</v>
      </c>
      <c r="L9" s="17" t="s">
        <v>27</v>
      </c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</row>
    <row r="10" ht="22.95" customHeight="1" spans="10:42">
      <c r="J10" s="16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</row>
    <row r="11" ht="22.95" customHeight="1" spans="10:42">
      <c r="J11" s="18"/>
      <c r="K11" s="21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>
        <f t="shared" ref="AN11:AP11" si="3">COUNTIF(AN8:AN10,"√")</f>
        <v>0</v>
      </c>
      <c r="AO11" s="17">
        <f t="shared" si="3"/>
        <v>0</v>
      </c>
      <c r="AP11" s="17">
        <f t="shared" si="3"/>
        <v>0</v>
      </c>
    </row>
    <row r="12" ht="22.95" customHeight="1" spans="10:42">
      <c r="J12" s="14" t="s">
        <v>29</v>
      </c>
      <c r="K12" s="22" t="s">
        <v>30</v>
      </c>
      <c r="L12" s="22" t="s">
        <v>27</v>
      </c>
      <c r="M12" s="22"/>
      <c r="N12" s="22" t="s">
        <v>27</v>
      </c>
      <c r="O12" s="22" t="s">
        <v>27</v>
      </c>
      <c r="P12" s="22" t="s">
        <v>27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</row>
    <row r="13" ht="22.95" customHeight="1" spans="10:42">
      <c r="J13" s="16"/>
      <c r="K13" s="22" t="s">
        <v>31</v>
      </c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</row>
    <row r="14" ht="22.95" customHeight="1" spans="10:42">
      <c r="J14" s="16"/>
      <c r="K14" s="22" t="s">
        <v>32</v>
      </c>
      <c r="L14" s="22"/>
      <c r="M14" s="22"/>
      <c r="N14" s="22"/>
      <c r="O14" s="22"/>
      <c r="P14" s="22"/>
      <c r="Q14" s="22" t="s">
        <v>27</v>
      </c>
      <c r="R14" s="22" t="s">
        <v>27</v>
      </c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</row>
    <row r="15" ht="22.95" customHeight="1" spans="10:42">
      <c r="J15" s="18"/>
      <c r="K15" s="23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>
        <f t="shared" ref="AN15:AP15" si="4">COUNTIF(AN12:AN14,"√")</f>
        <v>0</v>
      </c>
      <c r="AO15" s="22">
        <f t="shared" si="4"/>
        <v>0</v>
      </c>
      <c r="AP15" s="22">
        <f t="shared" si="4"/>
        <v>0</v>
      </c>
    </row>
    <row r="16" ht="22.95" customHeight="1" spans="10:42">
      <c r="J16"/>
      <c r="K16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</row>
    <row r="17" ht="22.95" customHeight="1" spans="10:42">
      <c r="J17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>
        <v>0</v>
      </c>
      <c r="AN17" s="24"/>
      <c r="AO17" s="24"/>
      <c r="AP17" s="24"/>
    </row>
    <row r="18" ht="22.95" customHeight="1" spans="10:42">
      <c r="J18"/>
      <c r="K18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</row>
    <row r="19" ht="22.95" hidden="1" customHeight="1" spans="10:42">
      <c r="J19"/>
      <c r="K19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</row>
    <row r="20" ht="22.95" hidden="1" customHeight="1" spans="10:42">
      <c r="J20"/>
      <c r="K20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</row>
    <row r="21" ht="22.95" hidden="1" customHeight="1" spans="10:42">
      <c r="J21"/>
      <c r="K21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</row>
    <row r="22" ht="22.95" hidden="1" customHeight="1" spans="10:42">
      <c r="J22"/>
      <c r="K22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</row>
    <row r="23" ht="22.95" hidden="1" customHeight="1" spans="10:42">
      <c r="J23"/>
      <c r="K23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</row>
    <row r="24" ht="22.95" hidden="1" customHeight="1" spans="10:42">
      <c r="J24"/>
      <c r="K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</row>
    <row r="25" ht="22.95" hidden="1" customHeight="1" spans="10:42">
      <c r="J25"/>
      <c r="K25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7" priority="1" operator="equal">
      <formula>DAY(TODAY())</formula>
    </cfRule>
  </conditionalFormatting>
  <conditionalFormatting sqref="AN3:AP3">
    <cfRule type="expression" dxfId="10" priority="12">
      <formula>MONTH(AN3)&gt;MONTH(AK3)</formula>
    </cfRule>
  </conditionalFormatting>
  <conditionalFormatting sqref="L7:AP7">
    <cfRule type="expression" dxfId="11" priority="4">
      <formula>COUNTIF(L4:L6,"√")&gt;0</formula>
    </cfRule>
  </conditionalFormatting>
  <conditionalFormatting sqref="L11:AP11">
    <cfRule type="expression" dxfId="12" priority="3">
      <formula>COUNTIF(L8:L10,"√")&gt;0</formula>
    </cfRule>
  </conditionalFormatting>
  <conditionalFormatting sqref="L15:AP15">
    <cfRule type="expression" dxfId="13" priority="2">
      <formula>COUNTIF(L12:L14,"√")&gt;0</formula>
    </cfRule>
  </conditionalFormatting>
  <conditionalFormatting sqref="B4:H9">
    <cfRule type="cellIs" dxfId="8" priority="13" operator="equal">
      <formula>TODAY()</formula>
    </cfRule>
    <cfRule type="expression" dxfId="9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2"/>
  <sheetViews>
    <sheetView tabSelected="1" workbookViewId="0">
      <selection activeCell="B8" sqref="B8"/>
    </sheetView>
  </sheetViews>
  <sheetFormatPr defaultColWidth="8.72727272727273" defaultRowHeight="14" outlineLevelRow="1" outlineLevelCol="2"/>
  <cols>
    <col min="1" max="1" width="12.7272727272727" customWidth="1"/>
    <col min="2" max="2" width="24.1818181818182" customWidth="1"/>
    <col min="3" max="3" width="18.2727272727273" customWidth="1"/>
  </cols>
  <sheetData>
    <row r="1" spans="1:3">
      <c r="A1" t="s">
        <v>33</v>
      </c>
      <c r="B1" t="s">
        <v>34</v>
      </c>
      <c r="C1" t="s">
        <v>35</v>
      </c>
    </row>
    <row r="2" spans="1:3">
      <c r="A2" t="s">
        <v>36</v>
      </c>
      <c r="B2" s="1" t="s">
        <v>37</v>
      </c>
      <c r="C2" t="s">
        <v>38</v>
      </c>
    </row>
  </sheetData>
  <hyperlinks>
    <hyperlink ref="B2" r:id="rId1" display="1325673143@qq.com"/>
  </hyperlink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当日</vt:lpstr>
      <vt:lpstr>月度</vt:lpstr>
      <vt:lpstr>账户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2024-08-20T09:43:45Z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2052-12.1.0.17827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230C7E2380904657B83C96E4031A3146_13</vt:lpwstr>
  </property>
</Properties>
</file>