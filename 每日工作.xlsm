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/>
  </bookViews>
  <sheets>
    <sheet name="月度" sheetId="2" r:id="rId1"/>
    <sheet name="当日" sheetId="1" r:id="rId2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<sst xmlns="http://schemas.openxmlformats.org/spreadsheetml/2006/main" count="43" uniqueCount="32">
  <si>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</si>
  <si>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</si>
  <si>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</si>
  <si>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</si>
  <si>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</si>
  <si>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</si>
  <si>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</si>
  <si>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</si>
  <si>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</si>
  <si>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</si>
  <si>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</si>
  <si>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</si>
  <si>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事业</t>
  </si>
  <si>
    <t>前端技术提升-课程</t>
  </si>
  <si>
    <t>精力</t>
  </si>
  <si>
    <t>行万步 | 其他运动</t>
  </si>
  <si>
    <t>√</t>
  </si>
  <si>
    <t>早睡-锁手机</t>
  </si>
  <si>
    <t>理财</t>
  </si>
  <si>
    <t>阅读-大作手回忆录</t>
  </si>
  <si>
    <t>新闻-选股领域资讯</t>
  </si>
  <si>
    <t>本日快捷清单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</si>
  <si>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</si>
  <si>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</si>
  <si>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</si>
  <si>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</si>
  <si>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</si>
  <si>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</si>
  <si>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</si>
  <si>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</si>
  <si>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</si>
  <si>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高级搜索 加载节点速度有问题，之后做一个 异步加载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</si>
</sst>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45066682943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399975585192419"/>
        </patternFill>
      </fill>
    </dxf>
    <dxf>
      <numFmt numFmtId="178" formatCode=";;;"/>
    </dxf>
    <dxf>
      <font>
        <color theme="5" tint="0.799951170384838"/>
      </font>
      <fill>
        <patternFill patternType="solid">
          <bgColor theme="5" tint="0.799951170384838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45066682943"/>
      </font>
      <fill>
        <patternFill patternType="solid">
          <bgColor theme="8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>
      <calculatedColumnFormula>INT(DATE($C$2,$F$2,0)/7)*7+COLUMN(A1)+7*(ROW(B1)-1)</calculatedColumnFormula>
    </tableColumn>
    <tableColumn id="2" name="一" dataDxfId="8">
      <calculatedColumnFormula>INT(DATE($C$2,$F$2,0)/7)*7+COLUMN(B1)+7*(ROW(C1)-1)</calculatedColumnFormula>
    </tableColumn>
    <tableColumn id="3" name="二" dataDxfId="9">
      <calculatedColumnFormula>INT(DATE($C$2,$F$2,0)/7)*7+COLUMN(C1)+7*(ROW(D1)-1)</calculatedColumnFormula>
    </tableColumn>
    <tableColumn id="4" name="三" dataDxfId="10">
      <calculatedColumnFormula>INT(DATE($C$2,$F$2,0)/7)*7+COLUMN(D1)+7*(ROW(E1)-1)</calculatedColumnFormula>
    </tableColumn>
    <tableColumn id="5" name="四" dataDxfId="11">
      <calculatedColumnFormula>INT(DATE($C$2,$F$2,0)/7)*7+COLUMN(E1)+7*(ROW(F1)-1)</calculatedColumnFormula>
    </tableColumn>
    <tableColumn id="6" name="五" dataDxfId="12">
      <calculatedColumnFormula>INT(DATE($C$2,$F$2,0)/7)*7+COLUMN(F1)+7*(ROW(G1)-1)</calculatedColumnFormula>
    </tableColumn>
    <tableColumn id="7" name="六" dataDxfId="13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tabSelected="1" zoomScale="81" zoomScaleNormal="81" workbookViewId="0">
      <selection activeCell="K14" sqref="K14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454545454545" style="2" customWidth="1"/>
    <col min="11" max="11" width="21.3363636363636" style="2" customWidth="1"/>
    <col min="12" max="42" width="3.44545454545455" style="1" customWidth="1"/>
  </cols>
  <sheetData>
    <row r="1" spans="1:42">
      <c r="A1" s="3"/>
      <c r="J1" s="15" t="s">
        <v>0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4"/>
      <c r="C2" s="5">
        <v>2024</v>
      </c>
      <c r="D2" s="5"/>
      <c r="E2" s="6" t="s">
        <v>1</v>
      </c>
      <c r="F2" s="7">
        <v>8</v>
      </c>
      <c r="G2" s="6" t="s">
        <v>2</v>
      </c>
      <c r="H2" s="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6" t="s">
        <v>10</v>
      </c>
      <c r="K3" s="16" t="s">
        <v>11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9"/>
      <c r="B4" s="10">
        <f t="shared" ref="B4:H9" si="1">INT(DATE($C$2,$F$2,0)/7)*7+COLUMN(A1)+7*(ROW(B1)-1)</f>
        <v>45501</v>
      </c>
      <c r="C4" s="10">
        <f t="shared" si="1"/>
        <v>45502</v>
      </c>
      <c r="D4" s="10">
        <f t="shared" si="1"/>
        <v>45503</v>
      </c>
      <c r="E4" s="10">
        <f t="shared" si="1"/>
        <v>45504</v>
      </c>
      <c r="F4" s="10">
        <f t="shared" si="1"/>
        <v>45505</v>
      </c>
      <c r="G4" s="10">
        <f t="shared" si="1"/>
        <v>45506</v>
      </c>
      <c r="H4" s="10">
        <f t="shared" si="1"/>
        <v>45507</v>
      </c>
      <c r="J4" s="29" t="s">
        <v>12</v>
      </c>
      <c r="K4" s="30" t="s">
        <v>13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</row>
    <row r="5" ht="28.05" customHeight="1" spans="2:42">
      <c r="B5" s="10">
        <f t="shared" si="1"/>
        <v>45508</v>
      </c>
      <c r="C5" s="10">
        <f t="shared" si="1"/>
        <v>45509</v>
      </c>
      <c r="D5" s="10">
        <f t="shared" si="1"/>
        <v>45510</v>
      </c>
      <c r="E5" s="10">
        <f t="shared" si="1"/>
        <v>45511</v>
      </c>
      <c r="F5" s="10">
        <f t="shared" si="1"/>
        <v>45512</v>
      </c>
      <c r="G5" s="10">
        <f t="shared" si="1"/>
        <v>45513</v>
      </c>
      <c r="H5" s="10">
        <f t="shared" si="1"/>
        <v>45514</v>
      </c>
      <c r="J5" s="31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ht="28.05" customHeight="1" spans="2:42">
      <c r="B6" s="10">
        <f t="shared" si="1"/>
        <v>45515</v>
      </c>
      <c r="C6" s="10">
        <f t="shared" si="1"/>
        <v>45516</v>
      </c>
      <c r="D6" s="10">
        <f t="shared" si="1"/>
        <v>45517</v>
      </c>
      <c r="E6" s="10">
        <f t="shared" si="1"/>
        <v>45518</v>
      </c>
      <c r="F6" s="10">
        <f t="shared" si="1"/>
        <v>45519</v>
      </c>
      <c r="G6" s="10">
        <f t="shared" si="1"/>
        <v>45520</v>
      </c>
      <c r="H6" s="10">
        <f t="shared" si="1"/>
        <v>45521</v>
      </c>
      <c r="J6" s="31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ht="28.05" customHeight="1" spans="2:42">
      <c r="B7" s="10">
        <f t="shared" si="1"/>
        <v>45522</v>
      </c>
      <c r="C7" s="10">
        <f t="shared" si="1"/>
        <v>45523</v>
      </c>
      <c r="D7" s="10">
        <f t="shared" si="1"/>
        <v>45524</v>
      </c>
      <c r="E7" s="10">
        <f t="shared" si="1"/>
        <v>45525</v>
      </c>
      <c r="F7" s="10">
        <f t="shared" si="1"/>
        <v>45526</v>
      </c>
      <c r="G7" s="10">
        <f t="shared" si="1"/>
        <v>45527</v>
      </c>
      <c r="H7" s="10">
        <f t="shared" si="1"/>
        <v>45528</v>
      </c>
      <c r="J7" s="32"/>
      <c r="K7" s="33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>
        <f t="shared" ref="AN7:AP7" si="2">COUNTIF(AN4:AN6,"√")</f>
        <v>0</v>
      </c>
      <c r="AO7" s="34">
        <f t="shared" si="2"/>
        <v>0</v>
      </c>
      <c r="AP7" s="34">
        <f t="shared" si="2"/>
        <v>0</v>
      </c>
    </row>
    <row r="8" ht="28.05" customHeight="1" spans="2:42">
      <c r="B8" s="10">
        <f t="shared" si="1"/>
        <v>45529</v>
      </c>
      <c r="C8" s="10">
        <f t="shared" si="1"/>
        <v>45530</v>
      </c>
      <c r="D8" s="10">
        <f t="shared" si="1"/>
        <v>45531</v>
      </c>
      <c r="E8" s="10">
        <f t="shared" si="1"/>
        <v>45532</v>
      </c>
      <c r="F8" s="10">
        <f t="shared" si="1"/>
        <v>45533</v>
      </c>
      <c r="G8" s="10">
        <f t="shared" si="1"/>
        <v>45534</v>
      </c>
      <c r="H8" s="10">
        <f t="shared" si="1"/>
        <v>45535</v>
      </c>
      <c r="J8" s="35" t="s">
        <v>14</v>
      </c>
      <c r="K8" s="18" t="s">
        <v>15</v>
      </c>
      <c r="L8" s="18" t="s">
        <v>16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ht="28.05" customHeight="1" spans="2:42">
      <c r="B9" s="10">
        <f t="shared" si="1"/>
        <v>45536</v>
      </c>
      <c r="C9" s="10">
        <f t="shared" si="1"/>
        <v>45537</v>
      </c>
      <c r="D9" s="10">
        <f t="shared" si="1"/>
        <v>45538</v>
      </c>
      <c r="E9" s="10">
        <f t="shared" si="1"/>
        <v>45539</v>
      </c>
      <c r="F9" s="10">
        <f t="shared" si="1"/>
        <v>45540</v>
      </c>
      <c r="G9" s="10">
        <f t="shared" si="1"/>
        <v>45541</v>
      </c>
      <c r="H9" s="10">
        <f t="shared" si="1"/>
        <v>45542</v>
      </c>
      <c r="J9" s="31"/>
      <c r="K9" s="18" t="s">
        <v>17</v>
      </c>
      <c r="L9" s="18" t="s">
        <v>16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ht="22.95" customHeight="1" spans="10:42">
      <c r="J10" s="31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ht="22.95" customHeight="1" spans="10:42">
      <c r="J11" s="32"/>
      <c r="K11" s="36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>
        <f t="shared" ref="AN11:AP11" si="3">COUNTIF(AN8:AN10,"√")</f>
        <v>0</v>
      </c>
      <c r="AO11" s="18">
        <f t="shared" si="3"/>
        <v>0</v>
      </c>
      <c r="AP11" s="18">
        <f t="shared" si="3"/>
        <v>0</v>
      </c>
    </row>
    <row r="12" ht="22.95" customHeight="1" spans="10:42">
      <c r="J12" s="29" t="s">
        <v>18</v>
      </c>
      <c r="K12" s="22" t="s">
        <v>19</v>
      </c>
      <c r="L12" s="22" t="s">
        <v>16</v>
      </c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ht="22.95" customHeight="1" spans="10:42">
      <c r="J13" s="31"/>
      <c r="K13" s="22" t="s">
        <v>20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</row>
    <row r="14" ht="22.95" customHeight="1" spans="10:42">
      <c r="J14" s="31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</row>
    <row r="15" ht="22.95" customHeight="1" spans="10:42">
      <c r="J15" s="32"/>
      <c r="K15" s="37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>
        <f t="shared" ref="AN15:AP15" si="4">COUNTIF(AN12:AN14,"√")</f>
        <v>0</v>
      </c>
      <c r="AO15" s="22">
        <f t="shared" si="4"/>
        <v>0</v>
      </c>
      <c r="AP15" s="22">
        <f t="shared" si="4"/>
        <v>0</v>
      </c>
    </row>
    <row r="16" ht="22.95" customHeight="1" spans="10:42">
      <c r="J16"/>
      <c r="K16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</row>
    <row r="17" ht="22.95" customHeight="1" spans="10:42">
      <c r="J17"/>
      <c r="K17" s="39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>
        <v>0</v>
      </c>
      <c r="AN17" s="38"/>
      <c r="AO17" s="38"/>
      <c r="AP17" s="38"/>
    </row>
    <row r="18" ht="22.95" customHeight="1" spans="10:42">
      <c r="J18"/>
      <c r="K1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</row>
    <row r="19" ht="22.95" hidden="1" customHeight="1" spans="10:42">
      <c r="J19"/>
      <c r="K19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</row>
    <row r="20" ht="22.95" hidden="1" customHeight="1" spans="10:42">
      <c r="J20"/>
      <c r="K2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</row>
    <row r="21" ht="22.95" hidden="1" customHeight="1" spans="10:42">
      <c r="J21"/>
      <c r="K21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</row>
    <row r="22" ht="22.95" hidden="1" customHeight="1" spans="10:42">
      <c r="J22"/>
      <c r="K22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</row>
    <row r="23" ht="22.95" hidden="1" customHeight="1" spans="10:42">
      <c r="J23"/>
      <c r="K23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</row>
    <row r="24" ht="22.95" hidden="1" customHeight="1" spans="10:42">
      <c r="J24"/>
      <c r="K24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</row>
    <row r="25" ht="22.95" hidden="1" customHeight="1" spans="10:42">
      <c r="J25"/>
      <c r="K25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zoomScale="85" zoomScaleNormal="85" workbookViewId="0">
      <selection activeCell="F3" sqref="F3"/>
    </sheetView>
  </sheetViews>
  <sheetFormatPr defaultColWidth="9" defaultRowHeight="16.5"/>
  <cols>
    <col min="1" max="1" width="3.66363636363636" customWidth="1"/>
    <col min="2" max="8" width="5.10909090909091" style="1" customWidth="1"/>
    <col min="9" max="10" width="3.89090909090909" style="1" customWidth="1"/>
    <col min="11" max="11" width="46.4454545454545" style="2" customWidth="1"/>
    <col min="12" max="12" width="44.8909090909091" style="2" customWidth="1"/>
    <col min="13" max="13" width="11.7818181818182" style="1" customWidth="1"/>
  </cols>
  <sheetData>
    <row r="1" spans="1:13">
      <c r="A1" s="3"/>
      <c r="K1" s="15" t="s">
        <v>21</v>
      </c>
      <c r="L1" s="15"/>
      <c r="M1" s="15"/>
    </row>
    <row r="2" ht="24" spans="2:13">
      <c r="B2" s="4"/>
      <c r="C2" s="5">
        <v>2024</v>
      </c>
      <c r="D2" s="5"/>
      <c r="E2" s="6" t="s">
        <v>1</v>
      </c>
      <c r="F2" s="7">
        <v>7</v>
      </c>
      <c r="G2" s="6" t="s">
        <v>2</v>
      </c>
      <c r="H2" s="6"/>
      <c r="K2" s="15"/>
      <c r="L2" s="15"/>
      <c r="M2" s="15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6" t="s">
        <v>22</v>
      </c>
      <c r="L3" s="16" t="s">
        <v>23</v>
      </c>
      <c r="M3" s="17" t="s">
        <v>24</v>
      </c>
    </row>
    <row r="4" ht="25.95" customHeight="1" spans="1:13">
      <c r="A4" s="9"/>
      <c r="B4" s="10">
        <f t="shared" ref="B4:H5" si="0">INT(DATE($C$2,$F$2,0)/7)*7+COLUMN(A1)+7*(ROW(B1)-1)</f>
        <v>45473</v>
      </c>
      <c r="C4" s="10">
        <f t="shared" si="0"/>
        <v>45474</v>
      </c>
      <c r="D4" s="10">
        <f t="shared" si="0"/>
        <v>45475</v>
      </c>
      <c r="E4" s="10">
        <f t="shared" si="0"/>
        <v>45476</v>
      </c>
      <c r="F4" s="10">
        <f t="shared" si="0"/>
        <v>45477</v>
      </c>
      <c r="G4" s="10">
        <f t="shared" si="0"/>
        <v>45478</v>
      </c>
      <c r="H4" s="10">
        <f t="shared" si="0"/>
        <v>45479</v>
      </c>
      <c r="K4" s="18"/>
      <c r="L4" s="18"/>
      <c r="M4" s="18"/>
    </row>
    <row r="5" ht="25.95" customHeight="1" spans="2:13">
      <c r="B5" s="10">
        <f t="shared" si="0"/>
        <v>45480</v>
      </c>
      <c r="C5" s="10">
        <f t="shared" si="0"/>
        <v>45481</v>
      </c>
      <c r="D5" s="10">
        <f t="shared" si="0"/>
        <v>45482</v>
      </c>
      <c r="E5" s="10">
        <f t="shared" si="0"/>
        <v>45483</v>
      </c>
      <c r="F5" s="10">
        <f t="shared" si="0"/>
        <v>45484</v>
      </c>
      <c r="G5" s="10">
        <f t="shared" si="0"/>
        <v>45485</v>
      </c>
      <c r="H5" s="10">
        <f t="shared" si="0"/>
        <v>45486</v>
      </c>
      <c r="K5" s="18"/>
      <c r="L5" s="18"/>
      <c r="M5" s="18"/>
    </row>
    <row r="6" ht="25.95" customHeight="1" spans="2:13">
      <c r="B6" s="10">
        <f>INT(DATE($C$2,$F$2,0)/7)*7+COLUMN(A3)+7*(ROW(B3)-1)</f>
        <v>45487</v>
      </c>
      <c r="C6" s="10">
        <f t="shared" ref="C6:H6" si="1">INT(DATE($C$2,$F$2,0)/7)*7+COLUMN(B3)+7*(ROW(C3)-1)</f>
        <v>45488</v>
      </c>
      <c r="D6" s="10">
        <f t="shared" si="1"/>
        <v>45489</v>
      </c>
      <c r="E6" s="10">
        <f t="shared" si="1"/>
        <v>45490</v>
      </c>
      <c r="F6" s="10">
        <f t="shared" si="1"/>
        <v>45491</v>
      </c>
      <c r="G6" s="10">
        <f t="shared" si="1"/>
        <v>45492</v>
      </c>
      <c r="H6" s="10">
        <f t="shared" si="1"/>
        <v>45493</v>
      </c>
      <c r="K6" s="18"/>
      <c r="L6" s="18"/>
      <c r="M6" s="18"/>
    </row>
    <row r="7" ht="25.95" customHeight="1" spans="2:13">
      <c r="B7" s="10">
        <f>INT(DATE($C$2,$F$2,0)/7)*7+COLUMN(A4)+7*(ROW(B4)-1)</f>
        <v>45494</v>
      </c>
      <c r="C7" s="10">
        <f t="shared" ref="C7:H8" si="2">INT(DATE($C$2,$F$2,0)/7)*7+COLUMN(B4)+7*(ROW(C4)-1)</f>
        <v>45495</v>
      </c>
      <c r="D7" s="10">
        <f t="shared" si="2"/>
        <v>45496</v>
      </c>
      <c r="E7" s="10">
        <f t="shared" si="2"/>
        <v>45497</v>
      </c>
      <c r="F7" s="10">
        <f t="shared" si="2"/>
        <v>45498</v>
      </c>
      <c r="G7" s="10">
        <f t="shared" si="2"/>
        <v>45499</v>
      </c>
      <c r="H7" s="10">
        <f t="shared" si="2"/>
        <v>45500</v>
      </c>
      <c r="K7" s="18"/>
      <c r="L7" s="18"/>
      <c r="M7" s="18"/>
    </row>
    <row r="8" ht="25.95" customHeight="1" spans="2:13">
      <c r="B8" s="10">
        <f>INT(DATE($C$2,$F$2,0)/7)*7+COLUMN(A5)+7*(ROW(B5)-1)</f>
        <v>45501</v>
      </c>
      <c r="C8" s="10">
        <f t="shared" si="2"/>
        <v>45502</v>
      </c>
      <c r="D8" s="10">
        <f t="shared" si="2"/>
        <v>45503</v>
      </c>
      <c r="E8" s="10">
        <f t="shared" si="2"/>
        <v>45504</v>
      </c>
      <c r="F8" s="10">
        <f t="shared" si="2"/>
        <v>45505</v>
      </c>
      <c r="G8" s="10">
        <f t="shared" si="2"/>
        <v>45506</v>
      </c>
      <c r="H8" s="10">
        <f t="shared" si="2"/>
        <v>45507</v>
      </c>
      <c r="K8" s="19"/>
      <c r="L8" s="18"/>
      <c r="M8" s="18"/>
    </row>
    <row r="9" ht="37.05" customHeight="1" spans="2:13">
      <c r="B9" s="11" t="s">
        <v>25</v>
      </c>
      <c r="K9" s="20" t="s">
        <v>26</v>
      </c>
      <c r="L9" s="21"/>
      <c r="M9" s="22"/>
    </row>
    <row r="10" ht="25.95" customHeight="1" spans="1:13">
      <c r="A10" s="12"/>
      <c r="B10" s="13" t="s">
        <v>27</v>
      </c>
      <c r="C10" s="13"/>
      <c r="D10" s="13"/>
      <c r="E10" s="13"/>
      <c r="F10" s="13"/>
      <c r="G10" s="13"/>
      <c r="H10" s="13"/>
      <c r="I10" s="23" t="s">
        <v>28</v>
      </c>
      <c r="J10" s="23"/>
      <c r="K10" s="24" t="s">
        <v>29</v>
      </c>
      <c r="L10" s="25"/>
      <c r="M10" s="26" t="s">
        <v>30</v>
      </c>
    </row>
    <row r="11" ht="25.95" customHeight="1" spans="1:13">
      <c r="A11" s="12"/>
      <c r="B11" s="14" t="s">
        <v>31</v>
      </c>
      <c r="C11" s="14"/>
      <c r="D11" s="14"/>
      <c r="E11" s="14"/>
      <c r="F11" s="14"/>
      <c r="G11" s="14"/>
      <c r="H11" s="14"/>
      <c r="I11" s="27">
        <v>6.1</v>
      </c>
      <c r="J11" s="27"/>
      <c r="K11" s="28"/>
      <c r="L11" s="22"/>
      <c r="M11" s="18"/>
    </row>
    <row r="12" ht="25.95" customHeight="1" spans="1:13">
      <c r="A12" s="12"/>
      <c r="B12" s="14"/>
      <c r="C12" s="14"/>
      <c r="D12" s="14"/>
      <c r="E12" s="14"/>
      <c r="F12" s="14"/>
      <c r="G12" s="14"/>
      <c r="H12" s="14"/>
      <c r="I12" s="27"/>
      <c r="J12" s="27"/>
      <c r="K12" s="28"/>
      <c r="L12" s="22"/>
      <c r="M12" s="18"/>
    </row>
    <row r="13" ht="25.95" customHeight="1" spans="1:13">
      <c r="A13" s="12"/>
      <c r="B13" s="14"/>
      <c r="C13" s="14"/>
      <c r="D13" s="14"/>
      <c r="E13" s="14"/>
      <c r="F13" s="14"/>
      <c r="G13" s="14"/>
      <c r="H13" s="14"/>
      <c r="I13" s="27"/>
      <c r="J13" s="27"/>
      <c r="K13" s="28"/>
      <c r="L13" s="22"/>
      <c r="M13" s="18"/>
    </row>
    <row r="14" ht="25.95" customHeight="1" spans="1:13">
      <c r="A14" s="12"/>
      <c r="B14" s="14"/>
      <c r="C14" s="14"/>
      <c r="D14" s="14"/>
      <c r="E14" s="14"/>
      <c r="F14" s="14"/>
      <c r="G14" s="14"/>
      <c r="H14" s="14"/>
      <c r="I14" s="27"/>
      <c r="J14" s="27"/>
      <c r="K14" s="28"/>
      <c r="L14" s="22"/>
      <c r="M14" s="18"/>
    </row>
    <row r="15" ht="25.95" customHeight="1" spans="1:13">
      <c r="A15" s="12"/>
      <c r="B15" s="14"/>
      <c r="C15" s="14"/>
      <c r="D15" s="14"/>
      <c r="E15" s="14"/>
      <c r="F15" s="14"/>
      <c r="G15" s="14"/>
      <c r="H15" s="14"/>
      <c r="I15" s="27"/>
      <c r="J15" s="27"/>
      <c r="K15" s="28"/>
      <c r="L15" s="22"/>
      <c r="M15" s="18"/>
    </row>
    <row r="16" ht="25.95" customHeight="1" spans="1:13">
      <c r="A16" s="12"/>
      <c r="B16" s="14"/>
      <c r="C16" s="14"/>
      <c r="D16" s="14"/>
      <c r="E16" s="14"/>
      <c r="F16" s="14"/>
      <c r="G16" s="14"/>
      <c r="H16" s="14"/>
      <c r="I16" s="27"/>
      <c r="J16" s="27"/>
      <c r="K16" s="28"/>
      <c r="L16" s="22"/>
      <c r="M16" s="18"/>
    </row>
    <row r="17" ht="25.95" customHeight="1" spans="1:13">
      <c r="A17" s="12"/>
      <c r="B17" s="14"/>
      <c r="C17" s="14"/>
      <c r="D17" s="14"/>
      <c r="E17" s="14"/>
      <c r="F17" s="14"/>
      <c r="G17" s="14"/>
      <c r="H17" s="14"/>
      <c r="I17" s="27"/>
      <c r="J17" s="27"/>
      <c r="K17" s="28"/>
      <c r="L17" s="22"/>
      <c r="M17" s="18"/>
    </row>
    <row r="18" ht="25.95" customHeight="1" spans="1:13">
      <c r="A18" s="12"/>
      <c r="B18" s="14"/>
      <c r="C18" s="14"/>
      <c r="D18" s="14"/>
      <c r="E18" s="14"/>
      <c r="F18" s="14"/>
      <c r="G18" s="14"/>
      <c r="H18" s="14"/>
      <c r="I18" s="27"/>
      <c r="J18" s="27"/>
      <c r="K18" s="28"/>
      <c r="L18" s="22"/>
      <c r="M18" s="18"/>
    </row>
    <row r="19" ht="25.95" customHeight="1" spans="1:13">
      <c r="A19" s="12"/>
      <c r="B19" s="14"/>
      <c r="C19" s="14"/>
      <c r="D19" s="14"/>
      <c r="E19" s="14"/>
      <c r="F19" s="14"/>
      <c r="G19" s="14"/>
      <c r="H19" s="14"/>
      <c r="I19" s="27"/>
      <c r="J19" s="27"/>
      <c r="K19" s="28"/>
      <c r="L19" s="22"/>
      <c r="M19" s="18"/>
    </row>
    <row r="20" ht="25.95" customHeight="1" spans="1:13">
      <c r="A20" s="12"/>
      <c r="B20" s="14"/>
      <c r="C20" s="14"/>
      <c r="D20" s="14"/>
      <c r="E20" s="14"/>
      <c r="F20" s="14"/>
      <c r="G20" s="14"/>
      <c r="H20" s="14"/>
      <c r="I20" s="27"/>
      <c r="J20" s="27"/>
      <c r="K20" s="28"/>
      <c r="L20" s="22"/>
      <c r="M20" s="18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2024-08-02T10:03:37Z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2052-12.1.0.16929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