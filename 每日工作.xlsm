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060"/>
  </bookViews>
  <sheets>
    <sheet name="当日" sheetId="1" r:id="rId1"/>
    <sheet name="账户" sheetId="3" r:id="rId2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<sst xmlns="http://schemas.openxmlformats.org/spreadsheetml/2006/main" count="28" uniqueCount="27">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</sst>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3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5" borderId="7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6" borderId="10" applyNumberFormat="0" applyAlignment="0" applyProtection="0">
      <alignment vertical="center"/>
    </xf>
    <xf numFmtId="0" fontId="23" fillId="7" borderId="11" applyNumberFormat="0" applyAlignment="0" applyProtection="0">
      <alignment vertical="center"/>
    </xf>
    <xf numFmtId="0" fontId="24" fillId="7" borderId="10" applyNumberFormat="0" applyAlignment="0" applyProtection="0">
      <alignment vertical="center"/>
    </xf>
    <xf numFmtId="0" fontId="25" fillId="8" borderId="12" applyNumberFormat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2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6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0" borderId="0" xfId="0" applyFont="1">
      <alignment vertical="center"/>
    </xf>
    <xf numFmtId="176" fontId="6" fillId="3" borderId="2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177" fontId="11" fillId="2" borderId="3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1" fillId="2" borderId="4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0" fillId="0" borderId="0" xfId="0" applyProtection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0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19"/>
  <sheetViews>
    <sheetView showGridLines="0" showZeros="0" tabSelected="1" zoomScale="85" zoomScaleNormal="85" workbookViewId="0">
      <selection activeCell="F3" sqref="F3"/>
    </sheetView>
  </sheetViews>
  <sheetFormatPr defaultColWidth="9" defaultRowHeight="15.6"/>
  <cols>
    <col min="1" max="1" width="3.66666666666667" customWidth="1"/>
    <col min="2" max="8" width="5.11111111111111" style="4" customWidth="1"/>
    <col min="9" max="10" width="3.88888888888889" style="4" customWidth="1"/>
    <col min="11" max="11" width="46.4444444444444" style="5" customWidth="1"/>
    <col min="12" max="12" width="44.8888888888889" style="5" customWidth="1"/>
    <col min="13" max="13" width="11.7777777777778" style="4" customWidth="1"/>
  </cols>
  <sheetData>
    <row r="1" spans="11:13">
      <c r="K1" s="16" t="s">
        <v>0</v>
      </c>
      <c r="L1" s="16"/>
      <c r="M1" s="16"/>
    </row>
    <row r="2" ht="24.6" spans="2:13">
      <c r="B2" s="6"/>
      <c r="C2" s="7">
        <v>2024</v>
      </c>
      <c r="D2" s="7"/>
      <c r="E2" s="8" t="s">
        <v>1</v>
      </c>
      <c r="F2" s="9">
        <v>11</v>
      </c>
      <c r="G2" s="8" t="s">
        <v>2</v>
      </c>
      <c r="H2" s="8"/>
      <c r="K2" s="16"/>
      <c r="L2" s="16"/>
      <c r="M2" s="16"/>
    </row>
    <row r="3" ht="22.95" customHeight="1" spans="2:13">
      <c r="B3" s="10" t="s">
        <v>3</v>
      </c>
      <c r="C3" s="10" t="s">
        <v>4</v>
      </c>
      <c r="D3" s="10" t="s">
        <v>5</v>
      </c>
      <c r="E3" s="10" t="s">
        <v>6</v>
      </c>
      <c r="F3" s="10" t="s">
        <v>7</v>
      </c>
      <c r="G3" s="10" t="s">
        <v>8</v>
      </c>
      <c r="H3" s="10" t="s">
        <v>9</v>
      </c>
      <c r="K3" s="17" t="s">
        <v>10</v>
      </c>
      <c r="L3" s="17" t="s">
        <v>11</v>
      </c>
      <c r="M3" s="18" t="s">
        <v>12</v>
      </c>
    </row>
    <row r="4" ht="25.95" customHeight="1" spans="1:13">
      <c r="A4" s="11"/>
      <c r="B4" s="12">
        <f t="shared" ref="B4:H5" si="0">INT(DATE($C$2,$F$2,0)/7)*7+COLUMN(A1)+7*(ROW(B1)-1)</f>
        <v>45592</v>
      </c>
      <c r="C4" s="12">
        <f t="shared" si="0"/>
        <v>45593</v>
      </c>
      <c r="D4" s="12">
        <f t="shared" si="0"/>
        <v>45594</v>
      </c>
      <c r="E4" s="12">
        <f t="shared" si="0"/>
        <v>45595</v>
      </c>
      <c r="F4" s="12">
        <f t="shared" si="0"/>
        <v>45596</v>
      </c>
      <c r="G4" s="12">
        <f t="shared" si="0"/>
        <v>45597</v>
      </c>
      <c r="H4" s="12">
        <f t="shared" si="0"/>
        <v>45598</v>
      </c>
      <c r="K4" s="19"/>
      <c r="L4" s="19"/>
      <c r="M4" s="19"/>
    </row>
    <row r="5" ht="25.95" customHeight="1" spans="2:13">
      <c r="B5" s="12">
        <f t="shared" si="0"/>
        <v>45599</v>
      </c>
      <c r="C5" s="12">
        <f t="shared" si="0"/>
        <v>45600</v>
      </c>
      <c r="D5" s="12">
        <f t="shared" si="0"/>
        <v>45601</v>
      </c>
      <c r="E5" s="12">
        <f t="shared" si="0"/>
        <v>45602</v>
      </c>
      <c r="F5" s="12">
        <f t="shared" si="0"/>
        <v>45603</v>
      </c>
      <c r="G5" s="12">
        <f t="shared" si="0"/>
        <v>45604</v>
      </c>
      <c r="H5" s="12">
        <f t="shared" si="0"/>
        <v>45605</v>
      </c>
      <c r="K5" s="19"/>
      <c r="L5" s="19"/>
      <c r="M5" s="19"/>
    </row>
    <row r="6" ht="25.95" customHeight="1" spans="2:13">
      <c r="B6" s="12">
        <f>INT(DATE($C$2,$F$2,0)/7)*7+COLUMN(A3)+7*(ROW(B3)-1)</f>
        <v>45606</v>
      </c>
      <c r="C6" s="12">
        <f t="shared" ref="C6:H6" si="1">INT(DATE($C$2,$F$2,0)/7)*7+COLUMN(B3)+7*(ROW(C3)-1)</f>
        <v>45607</v>
      </c>
      <c r="D6" s="12">
        <f t="shared" si="1"/>
        <v>45608</v>
      </c>
      <c r="E6" s="12">
        <f t="shared" si="1"/>
        <v>45609</v>
      </c>
      <c r="F6" s="12">
        <f t="shared" si="1"/>
        <v>45610</v>
      </c>
      <c r="G6" s="12">
        <f t="shared" si="1"/>
        <v>45611</v>
      </c>
      <c r="H6" s="12">
        <f t="shared" si="1"/>
        <v>45612</v>
      </c>
      <c r="K6" s="19"/>
      <c r="L6" s="19"/>
      <c r="M6" s="19"/>
    </row>
    <row r="7" ht="25.95" customHeight="1" spans="2:13">
      <c r="B7" s="12">
        <f>INT(DATE($C$2,$F$2,0)/7)*7+COLUMN(A4)+7*(ROW(B4)-1)</f>
        <v>45613</v>
      </c>
      <c r="C7" s="12">
        <f t="shared" ref="C7:H8" si="2">INT(DATE($C$2,$F$2,0)/7)*7+COLUMN(B4)+7*(ROW(C4)-1)</f>
        <v>45614</v>
      </c>
      <c r="D7" s="12">
        <f t="shared" si="2"/>
        <v>45615</v>
      </c>
      <c r="E7" s="12">
        <f t="shared" si="2"/>
        <v>45616</v>
      </c>
      <c r="F7" s="12">
        <f t="shared" si="2"/>
        <v>45617</v>
      </c>
      <c r="G7" s="12">
        <f t="shared" si="2"/>
        <v>45618</v>
      </c>
      <c r="H7" s="12">
        <f t="shared" si="2"/>
        <v>45619</v>
      </c>
      <c r="K7" s="19"/>
      <c r="L7" s="19"/>
      <c r="M7" s="19"/>
    </row>
    <row r="8" ht="25.95" customHeight="1" spans="2:13">
      <c r="B8" s="12">
        <f>INT(DATE($C$2,$F$2,0)/7)*7+COLUMN(A5)+7*(ROW(B5)-1)</f>
        <v>45620</v>
      </c>
      <c r="C8" s="12">
        <f t="shared" si="2"/>
        <v>45621</v>
      </c>
      <c r="D8" s="12">
        <f t="shared" si="2"/>
        <v>45622</v>
      </c>
      <c r="E8" s="12">
        <f t="shared" si="2"/>
        <v>45623</v>
      </c>
      <c r="F8" s="12">
        <f t="shared" si="2"/>
        <v>45624</v>
      </c>
      <c r="G8" s="12">
        <f t="shared" si="2"/>
        <v>45625</v>
      </c>
      <c r="H8" s="12">
        <f t="shared" si="2"/>
        <v>45626</v>
      </c>
      <c r="K8" s="20"/>
      <c r="L8" s="19"/>
      <c r="M8" s="19"/>
    </row>
    <row r="9" ht="37.05" customHeight="1" spans="2:13">
      <c r="B9" s="13" t="s">
        <v>13</v>
      </c>
      <c r="K9" s="21" t="s">
        <v>14</v>
      </c>
      <c r="L9" s="22"/>
      <c r="M9" s="23"/>
    </row>
    <row r="10" ht="25.95" customHeight="1" spans="2:13">
      <c r="B10" s="14" t="s">
        <v>15</v>
      </c>
      <c r="C10" s="14"/>
      <c r="D10" s="14"/>
      <c r="E10" s="14"/>
      <c r="F10" s="14"/>
      <c r="G10" s="14"/>
      <c r="H10" s="14"/>
      <c r="I10" s="24" t="s">
        <v>16</v>
      </c>
      <c r="J10" s="24"/>
      <c r="K10" s="25" t="s">
        <v>17</v>
      </c>
      <c r="L10" s="26"/>
      <c r="M10" s="27" t="s">
        <v>18</v>
      </c>
    </row>
    <row r="11" ht="25.95" customHeight="1" spans="2:15">
      <c r="B11" s="15"/>
      <c r="C11" s="15"/>
      <c r="D11" s="15"/>
      <c r="E11" s="15"/>
      <c r="F11" s="15"/>
      <c r="G11" s="15"/>
      <c r="H11" s="15"/>
      <c r="K11" s="28"/>
      <c r="L11" s="23"/>
      <c r="M11" s="19"/>
      <c r="O11" s="29"/>
    </row>
    <row r="12" ht="25.95" customHeight="1" spans="2:13">
      <c r="B12" s="15"/>
      <c r="C12" s="15"/>
      <c r="D12" s="15"/>
      <c r="E12" s="15"/>
      <c r="F12" s="15"/>
      <c r="G12" s="15"/>
      <c r="H12" s="15"/>
      <c r="K12" s="28"/>
      <c r="L12" s="23"/>
      <c r="M12" s="19"/>
    </row>
    <row r="13" ht="25.95" customHeight="1" spans="2:13">
      <c r="B13" s="15"/>
      <c r="C13" s="15"/>
      <c r="D13" s="15"/>
      <c r="E13" s="15"/>
      <c r="F13" s="15"/>
      <c r="G13" s="15"/>
      <c r="H13" s="15"/>
      <c r="K13" s="28"/>
      <c r="L13" s="23"/>
      <c r="M13" s="19"/>
    </row>
    <row r="14" ht="25.95" customHeight="1" spans="2:13">
      <c r="B14" s="15"/>
      <c r="C14" s="15"/>
      <c r="D14" s="15"/>
      <c r="E14" s="15"/>
      <c r="F14" s="15"/>
      <c r="G14" s="15"/>
      <c r="H14" s="15"/>
      <c r="K14" s="28"/>
      <c r="L14" s="23"/>
      <c r="M14" s="19"/>
    </row>
    <row r="15" ht="25.95" customHeight="1" spans="2:13">
      <c r="B15" s="15"/>
      <c r="C15" s="15"/>
      <c r="D15" s="15"/>
      <c r="E15" s="15"/>
      <c r="F15" s="15"/>
      <c r="G15" s="15"/>
      <c r="H15" s="15"/>
      <c r="K15" s="28"/>
      <c r="L15" s="23"/>
      <c r="M15" s="19"/>
    </row>
    <row r="16" ht="25.95" customHeight="1" spans="2:13">
      <c r="B16" s="15"/>
      <c r="C16" s="15"/>
      <c r="D16" s="15"/>
      <c r="E16" s="15"/>
      <c r="F16" s="15"/>
      <c r="G16" s="15"/>
      <c r="H16" s="15"/>
      <c r="K16" s="28"/>
      <c r="L16" s="23"/>
      <c r="M16" s="19"/>
    </row>
    <row r="17" ht="25.95" customHeight="1" spans="2:13">
      <c r="B17" s="15"/>
      <c r="C17" s="15"/>
      <c r="D17" s="15"/>
      <c r="E17" s="15"/>
      <c r="F17" s="15"/>
      <c r="G17" s="15"/>
      <c r="H17" s="15"/>
      <c r="K17" s="28"/>
      <c r="L17" s="23"/>
      <c r="M17" s="19"/>
    </row>
    <row r="18" ht="25.95" customHeight="1" spans="2:13">
      <c r="B18" s="15"/>
      <c r="C18" s="15"/>
      <c r="D18" s="15"/>
      <c r="E18" s="15"/>
      <c r="F18" s="15"/>
      <c r="G18" s="15"/>
      <c r="H18" s="15"/>
      <c r="K18" s="28"/>
      <c r="L18" s="23"/>
      <c r="M18" s="19"/>
    </row>
    <row r="19" ht="25.95" customHeight="1" spans="2:13">
      <c r="B19" s="15"/>
      <c r="C19" s="15"/>
      <c r="D19" s="15"/>
      <c r="E19" s="15"/>
      <c r="F19" s="15"/>
      <c r="G19" s="15"/>
      <c r="H19" s="15"/>
      <c r="K19" s="28"/>
      <c r="L19" s="23"/>
      <c r="M19" s="19"/>
    </row>
  </sheetData>
  <sortState ref="K4:K8">
    <sortCondition ref="K4:K8" descending="1"/>
  </sortState>
  <mergeCells count="34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workbookViewId="0">
      <selection activeCell="C14" sqref="C14"/>
    </sheetView>
  </sheetViews>
  <sheetFormatPr defaultColWidth="8.73148148148148" defaultRowHeight="14.4" outlineLevelRow="1" outlineLevelCol="4"/>
  <cols>
    <col min="1" max="1" width="12.7314814814815" customWidth="1"/>
    <col min="2" max="2" width="24.1851851851852" customWidth="1"/>
    <col min="3" max="3" width="18.2685185185185" customWidth="1"/>
    <col min="4" max="4" width="58.3611111111111" customWidth="1"/>
    <col min="5" max="5" width="44.0925925925926" customWidth="1"/>
  </cols>
  <sheetData>
    <row r="1" ht="30" customHeight="1" spans="1:4">
      <c r="A1" s="1" t="s">
        <v>19</v>
      </c>
      <c r="B1" s="1" t="s">
        <v>20</v>
      </c>
      <c r="C1" s="1" t="s">
        <v>21</v>
      </c>
      <c r="D1" s="1" t="s">
        <v>11</v>
      </c>
    </row>
    <row r="2" ht="72" spans="1:5">
      <c r="A2" t="s">
        <v>22</v>
      </c>
      <c r="B2" s="2" t="s">
        <v>23</v>
      </c>
      <c r="C2" t="s">
        <v>24</v>
      </c>
      <c r="D2" s="3" t="s">
        <v>25</v>
      </c>
      <c r="E2" s="3" t="s">
        <v>26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当日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2021-06-30T08:13:00Z</dcterms:created>
  <dcterms:modified xsi:type="dcterms:W3CDTF">2024-11-29T07:18:59Z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2052-12.1.0.18912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